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Ex2.xml" ContentType="application/vnd.ms-office.chartex+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D:\Alifa\BNSP\Fase 3\"/>
    </mc:Choice>
  </mc:AlternateContent>
  <xr:revisionPtr revIDLastSave="0" documentId="13_ncr:1_{D2600E42-C5CF-48CB-9C36-70A7231E8DA9}" xr6:coauthVersionLast="47" xr6:coauthVersionMax="47" xr10:uidLastSave="{00000000-0000-0000-0000-000000000000}"/>
  <bookViews>
    <workbookView xWindow="-110" yWindow="-110" windowWidth="19420" windowHeight="10300" firstSheet="1" activeTab="5" xr2:uid="{BFEDA43F-B88B-4701-8C4A-E2FB4039E8E2}"/>
  </bookViews>
  <sheets>
    <sheet name="1. Data Transaksi" sheetId="2" r:id="rId1"/>
    <sheet name="2. Data Audit" sheetId="3" r:id="rId2"/>
    <sheet name="3. Data Cleaning" sheetId="5" r:id="rId3"/>
    <sheet name="4. Data Integration" sheetId="6" r:id="rId4"/>
    <sheet name="5. Feature Engineering" sheetId="7" r:id="rId5"/>
    <sheet name="6. Pivot Table" sheetId="8" r:id="rId6"/>
  </sheets>
  <definedNames>
    <definedName name="_xlchart.v1.0" hidden="1">'2. Data Audit'!$E$1</definedName>
    <definedName name="_xlchart.v1.1" hidden="1">'2. Data Audit'!$E$2:$E$51</definedName>
    <definedName name="_xlchart.v1.2" hidden="1">'3. Data Cleaning'!$E$1</definedName>
    <definedName name="_xlchart.v1.3" hidden="1">'3. Data Cleaning'!$E$2:$E$50</definedName>
    <definedName name="ExternalData_1" localSheetId="0" hidden="1">'1. Data Transaksi'!$A$1:$G$51</definedName>
    <definedName name="ExternalData_1" localSheetId="1" hidden="1">'2. Data Audit'!$A$1:$G$51</definedName>
    <definedName name="ExternalData_1" localSheetId="2" hidden="1">'3. Data Cleaning'!$A$1:$G$50</definedName>
    <definedName name="ExternalData_1" localSheetId="3" hidden="1">'4. Data Integration'!$A$1:$J$50</definedName>
    <definedName name="ExternalData_1" localSheetId="4" hidden="1">'5. Feature Engineering'!$A$1:$J$50</definedName>
    <definedName name="ExternalData_2" localSheetId="3" hidden="1">'4. Data Integration'!$P$1:$S$6</definedName>
    <definedName name="ExternalData_2" localSheetId="4" hidden="1">'5. Feature Engineering'!$S$1:$V$6</definedName>
    <definedName name="Slicer_Cabang">#N/A</definedName>
    <definedName name="Slicer_Kategori">#N/A</definedName>
  </definedNames>
  <calcPr calcId="191029"/>
  <pivotCaches>
    <pivotCache cacheId="0" r:id="rId7"/>
    <pivotCache cacheId="1" r:id="rId8"/>
    <pivotCache cacheId="9"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7" l="1"/>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L9" i="7"/>
  <c r="L17" i="7"/>
  <c r="L25" i="7"/>
  <c r="L33" i="7"/>
  <c r="L41" i="7"/>
  <c r="L49" i="7"/>
  <c r="K2" i="7"/>
  <c r="K3" i="7"/>
  <c r="K4" i="7"/>
  <c r="K5" i="7"/>
  <c r="K6" i="7"/>
  <c r="K7" i="7"/>
  <c r="K8" i="7"/>
  <c r="K9" i="7"/>
  <c r="K10" i="7"/>
  <c r="K11" i="7"/>
  <c r="K12" i="7"/>
  <c r="K13" i="7"/>
  <c r="K14" i="7"/>
  <c r="K15" i="7"/>
  <c r="K16" i="7"/>
  <c r="K17" i="7"/>
  <c r="K18" i="7"/>
  <c r="K19" i="7"/>
  <c r="K20" i="7"/>
  <c r="K21" i="7"/>
  <c r="K22" i="7"/>
  <c r="K23" i="7"/>
  <c r="K24" i="7"/>
  <c r="K25" i="7"/>
  <c r="K26" i="7"/>
  <c r="K27" i="7"/>
  <c r="K28" i="7"/>
  <c r="K29" i="7"/>
  <c r="K30" i="7"/>
  <c r="K31" i="7"/>
  <c r="K32" i="7"/>
  <c r="K33" i="7"/>
  <c r="K34" i="7"/>
  <c r="K35" i="7"/>
  <c r="K36" i="7"/>
  <c r="K37" i="7"/>
  <c r="K38" i="7"/>
  <c r="K39" i="7"/>
  <c r="K40" i="7"/>
  <c r="K41" i="7"/>
  <c r="K42" i="7"/>
  <c r="K43" i="7"/>
  <c r="K44" i="7"/>
  <c r="K45" i="7"/>
  <c r="K46" i="7"/>
  <c r="K47" i="7"/>
  <c r="K48" i="7"/>
  <c r="K49" i="7"/>
  <c r="K50" i="7"/>
  <c r="H50" i="7"/>
  <c r="L50" i="7" s="1"/>
  <c r="E50" i="7"/>
  <c r="D50" i="7"/>
  <c r="H49" i="7"/>
  <c r="E49" i="7"/>
  <c r="D49" i="7"/>
  <c r="H48" i="7"/>
  <c r="L48" i="7" s="1"/>
  <c r="E48" i="7"/>
  <c r="D48" i="7"/>
  <c r="H47" i="7"/>
  <c r="L47" i="7" s="1"/>
  <c r="E47" i="7"/>
  <c r="D47" i="7"/>
  <c r="H46" i="7"/>
  <c r="L46" i="7" s="1"/>
  <c r="E46" i="7"/>
  <c r="D46" i="7"/>
  <c r="H45" i="7"/>
  <c r="L45" i="7" s="1"/>
  <c r="E45" i="7"/>
  <c r="D45" i="7"/>
  <c r="H44" i="7"/>
  <c r="L44" i="7" s="1"/>
  <c r="E44" i="7"/>
  <c r="D44" i="7"/>
  <c r="H43" i="7"/>
  <c r="L43" i="7" s="1"/>
  <c r="E43" i="7"/>
  <c r="D43" i="7"/>
  <c r="H42" i="7"/>
  <c r="L42" i="7" s="1"/>
  <c r="E42" i="7"/>
  <c r="D42" i="7"/>
  <c r="H41" i="7"/>
  <c r="E41" i="7"/>
  <c r="D41" i="7"/>
  <c r="H40" i="7"/>
  <c r="L40" i="7" s="1"/>
  <c r="E40" i="7"/>
  <c r="D40" i="7"/>
  <c r="H39" i="7"/>
  <c r="L39" i="7" s="1"/>
  <c r="E39" i="7"/>
  <c r="D39" i="7"/>
  <c r="H38" i="7"/>
  <c r="L38" i="7" s="1"/>
  <c r="E38" i="7"/>
  <c r="D38" i="7"/>
  <c r="H37" i="7"/>
  <c r="L37" i="7" s="1"/>
  <c r="E37" i="7"/>
  <c r="D37" i="7"/>
  <c r="H36" i="7"/>
  <c r="L36" i="7" s="1"/>
  <c r="E36" i="7"/>
  <c r="D36" i="7"/>
  <c r="H35" i="7"/>
  <c r="L35" i="7" s="1"/>
  <c r="E35" i="7"/>
  <c r="D35" i="7"/>
  <c r="H34" i="7"/>
  <c r="L34" i="7" s="1"/>
  <c r="E34" i="7"/>
  <c r="D34" i="7"/>
  <c r="H33" i="7"/>
  <c r="E33" i="7"/>
  <c r="D33" i="7"/>
  <c r="H32" i="7"/>
  <c r="L32" i="7" s="1"/>
  <c r="E32" i="7"/>
  <c r="D32" i="7"/>
  <c r="H31" i="7"/>
  <c r="L31" i="7" s="1"/>
  <c r="E31" i="7"/>
  <c r="D31" i="7"/>
  <c r="H30" i="7"/>
  <c r="L30" i="7" s="1"/>
  <c r="E30" i="7"/>
  <c r="D30" i="7"/>
  <c r="H29" i="7"/>
  <c r="L29" i="7" s="1"/>
  <c r="E29" i="7"/>
  <c r="D29" i="7"/>
  <c r="H28" i="7"/>
  <c r="L28" i="7" s="1"/>
  <c r="E28" i="7"/>
  <c r="D28" i="7"/>
  <c r="H27" i="7"/>
  <c r="L27" i="7" s="1"/>
  <c r="E27" i="7"/>
  <c r="D27" i="7"/>
  <c r="H26" i="7"/>
  <c r="L26" i="7" s="1"/>
  <c r="E26" i="7"/>
  <c r="D26" i="7"/>
  <c r="H25" i="7"/>
  <c r="E25" i="7"/>
  <c r="D25" i="7"/>
  <c r="H24" i="7"/>
  <c r="L24" i="7" s="1"/>
  <c r="E24" i="7"/>
  <c r="D24" i="7"/>
  <c r="H23" i="7"/>
  <c r="L23" i="7" s="1"/>
  <c r="E23" i="7"/>
  <c r="D23" i="7"/>
  <c r="H22" i="7"/>
  <c r="L22" i="7" s="1"/>
  <c r="E22" i="7"/>
  <c r="D22" i="7"/>
  <c r="H21" i="7"/>
  <c r="L21" i="7" s="1"/>
  <c r="E21" i="7"/>
  <c r="D21" i="7"/>
  <c r="H20" i="7"/>
  <c r="L20" i="7" s="1"/>
  <c r="E20" i="7"/>
  <c r="D20" i="7"/>
  <c r="H19" i="7"/>
  <c r="L19" i="7" s="1"/>
  <c r="E19" i="7"/>
  <c r="D19" i="7"/>
  <c r="H18" i="7"/>
  <c r="L18" i="7" s="1"/>
  <c r="E18" i="7"/>
  <c r="D18" i="7"/>
  <c r="H17" i="7"/>
  <c r="E17" i="7"/>
  <c r="D17" i="7"/>
  <c r="H16" i="7"/>
  <c r="L16" i="7" s="1"/>
  <c r="E16" i="7"/>
  <c r="D16" i="7"/>
  <c r="H15" i="7"/>
  <c r="L15" i="7" s="1"/>
  <c r="E15" i="7"/>
  <c r="D15" i="7"/>
  <c r="H14" i="7"/>
  <c r="L14" i="7" s="1"/>
  <c r="E14" i="7"/>
  <c r="D14" i="7"/>
  <c r="H13" i="7"/>
  <c r="L13" i="7" s="1"/>
  <c r="E13" i="7"/>
  <c r="D13" i="7"/>
  <c r="H12" i="7"/>
  <c r="L12" i="7" s="1"/>
  <c r="E12" i="7"/>
  <c r="D12" i="7"/>
  <c r="H11" i="7"/>
  <c r="L11" i="7" s="1"/>
  <c r="E11" i="7"/>
  <c r="D11" i="7"/>
  <c r="H10" i="7"/>
  <c r="L10" i="7" s="1"/>
  <c r="E10" i="7"/>
  <c r="D10" i="7"/>
  <c r="H9" i="7"/>
  <c r="E9" i="7"/>
  <c r="D9" i="7"/>
  <c r="H8" i="7"/>
  <c r="L8" i="7" s="1"/>
  <c r="E8" i="7"/>
  <c r="D8" i="7"/>
  <c r="H7" i="7"/>
  <c r="L7" i="7" s="1"/>
  <c r="E7" i="7"/>
  <c r="D7" i="7"/>
  <c r="H6" i="7"/>
  <c r="L6" i="7" s="1"/>
  <c r="E6" i="7"/>
  <c r="D6" i="7"/>
  <c r="H5" i="7"/>
  <c r="L5" i="7" s="1"/>
  <c r="E5" i="7"/>
  <c r="D5" i="7"/>
  <c r="H4" i="7"/>
  <c r="L4" i="7" s="1"/>
  <c r="E4" i="7"/>
  <c r="D4" i="7"/>
  <c r="H3" i="7"/>
  <c r="L3" i="7" s="1"/>
  <c r="E3" i="7"/>
  <c r="D3" i="7"/>
  <c r="H2" i="7"/>
  <c r="L2" i="7" s="1"/>
  <c r="E2" i="7"/>
  <c r="D2" i="7"/>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E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J13" i="5"/>
  <c r="J12" i="5"/>
  <c r="K12" i="5" l="1"/>
  <c r="K1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6ABCA9-EB5B-47A2-9E6F-3CB170DCBCC9}" keepAlive="1" name="Query - Data Transaksi" description="Connection to the 'Data Transaksi' query in the workbook." type="5" refreshedVersion="7" background="1" saveData="1">
    <dbPr connection="Provider=Microsoft.Mashup.OleDb.1;Data Source=$Workbook$;Location=&quot;Data Transaksi&quot;;Extended Properties=&quot;&quot;" command="SELECT * FROM [Data Transaksi]"/>
  </connection>
  <connection id="2" xr16:uid="{102DED41-DAEE-475E-AB03-2B44484F8D34}" keepAlive="1" name="Query - Data Transaksi (2)" description="Connection to the 'Data Transaksi (2)' query in the workbook." type="5" refreshedVersion="7" background="1" saveData="1">
    <dbPr connection="Provider=Microsoft.Mashup.OleDb.1;Data Source=$Workbook$;Location=&quot;Data Transaksi (2)&quot;;Extended Properties=&quot;&quot;" command="SELECT * FROM [Data Transaksi (2)]"/>
  </connection>
  <connection id="3" xr16:uid="{2302F36F-F971-49CC-92D0-0B9C5B6CC50A}" keepAlive="1" name="Query - Data Transaksi (3)" description="Connection to the 'Data Transaksi (3)' query in the workbook." type="5" refreshedVersion="7" background="1" saveData="1">
    <dbPr connection="Provider=Microsoft.Mashup.OleDb.1;Data Source=$Workbook$;Location=&quot;Data Transaksi (3)&quot;;Extended Properties=&quot;&quot;" command="SELECT * FROM [Data Transaksi (3)]"/>
  </connection>
  <connection id="4" xr16:uid="{15E0E24A-6319-4B89-8080-97AF50B7BF08}" keepAlive="1" name="Query - Data Transaksi (4)" description="Connection to the 'Data Transaksi (4)' query in the workbook." type="5" refreshedVersion="7" background="1" saveData="1">
    <dbPr connection="Provider=Microsoft.Mashup.OleDb.1;Data Source=$Workbook$;Location=&quot;Data Transaksi (4)&quot;;Extended Properties=&quot;&quot;" command="SELECT * FROM [Data Transaksi (4)]"/>
  </connection>
  <connection id="5" xr16:uid="{74AC95CE-4C48-47F4-B2D6-82FA592F2361}" keepAlive="1" name="Query - Data Transaksi (5)" description="Connection to the 'Data Transaksi (5)' query in the workbook." type="5" refreshedVersion="7" background="1" saveData="1">
    <dbPr connection="Provider=Microsoft.Mashup.OleDb.1;Data Source=$Workbook$;Location=&quot;Data Transaksi (5)&quot;;Extended Properties=&quot;&quot;" command="SELECT * FROM [Data Transaksi (5)]"/>
  </connection>
  <connection id="6" xr16:uid="{9D2813AB-CF67-4879-B44E-D5BC218FD08A}" keepAlive="1" name="Query - Data Transaksi (6)" description="Connection to the 'Data Transaksi (6)' query in the workbook." type="5" refreshedVersion="7" background="1" saveData="1">
    <dbPr connection="Provider=Microsoft.Mashup.OleDb.1;Data Source=$Workbook$;Location=&quot;Data Transaksi (6)&quot;;Extended Properties=&quot;&quot;" command="SELECT * FROM [Data Transaksi (6)]"/>
  </connection>
  <connection id="7" xr16:uid="{32EDCEEE-1C51-4D33-A48A-8651B1D20104}" keepAlive="1" name="Query - Master Produk" description="Connection to the 'Master Produk' query in the workbook." type="5" refreshedVersion="7" background="1" saveData="1">
    <dbPr connection="Provider=Microsoft.Mashup.OleDb.1;Data Source=$Workbook$;Location=&quot;Master Produk&quot;;Extended Properties=&quot;&quot;" command="SELECT * FROM [Master Produk]"/>
  </connection>
  <connection id="8" xr16:uid="{C47288F1-1D63-453E-B18D-CC63058F5AB4}" keepAlive="1" name="Query - Master Produk (2)" description="Connection to the 'Master Produk (2)' query in the workbook." type="5" refreshedVersion="7" background="1" saveData="1">
    <dbPr connection="Provider=Microsoft.Mashup.OleDb.1;Data Source=$Workbook$;Location=&quot;Master Produk (2)&quot;;Extended Properties=&quot;&quot;" command="SELECT * FROM [Master Produk (2)]"/>
  </connection>
</connections>
</file>

<file path=xl/sharedStrings.xml><?xml version="1.0" encoding="utf-8"?>
<sst xmlns="http://schemas.openxmlformats.org/spreadsheetml/2006/main" count="1165" uniqueCount="188">
  <si>
    <t>ID_Transaksi</t>
  </si>
  <si>
    <t>Tanggal</t>
  </si>
  <si>
    <t>Kode_Produk</t>
  </si>
  <si>
    <t>Cabang</t>
  </si>
  <si>
    <t>Jumlah_Beli</t>
  </si>
  <si>
    <t>Harga_Satuan</t>
  </si>
  <si>
    <t>Nama_Pelanggan</t>
  </si>
  <si>
    <t>TRX-001</t>
  </si>
  <si>
    <t>P-001</t>
  </si>
  <si>
    <t>Jakarta</t>
  </si>
  <si>
    <t>Budi Santoso</t>
  </si>
  <si>
    <t>TRX-002</t>
  </si>
  <si>
    <t>P-002</t>
  </si>
  <si>
    <t>Bandung</t>
  </si>
  <si>
    <t>Siti Aminah</t>
  </si>
  <si>
    <t>TRX-003</t>
  </si>
  <si>
    <t>TRX-004</t>
  </si>
  <si>
    <t>P-003</t>
  </si>
  <si>
    <t>Surabaya</t>
  </si>
  <si>
    <t>Andi Wijaya</t>
  </si>
  <si>
    <t>TRX-005</t>
  </si>
  <si>
    <t>Citra Lestari</t>
  </si>
  <si>
    <t>TRX-006</t>
  </si>
  <si>
    <t>TRX-007</t>
  </si>
  <si>
    <t>P-004</t>
  </si>
  <si>
    <t>Medan</t>
  </si>
  <si>
    <t>Dewi Sartika</t>
  </si>
  <si>
    <t>TRX-008</t>
  </si>
  <si>
    <t>Eko Prasetyo</t>
  </si>
  <si>
    <t>TRX-009</t>
  </si>
  <si>
    <t>P-005</t>
  </si>
  <si>
    <t>Fajar Nugraha</t>
  </si>
  <si>
    <t>TRX-010</t>
  </si>
  <si>
    <t>Gita Gutawa</t>
  </si>
  <si>
    <t>TRX-011</t>
  </si>
  <si>
    <t>N/A</t>
  </si>
  <si>
    <t>TRX-012</t>
  </si>
  <si>
    <t>Indah Permata</t>
  </si>
  <si>
    <t>TRX-013</t>
  </si>
  <si>
    <t>Joko Anwar</t>
  </si>
  <si>
    <t>TRX-014</t>
  </si>
  <si>
    <t>Kiki Amalia</t>
  </si>
  <si>
    <t>TRX-015</t>
  </si>
  <si>
    <t>Lina Marlina</t>
  </si>
  <si>
    <t>TRX-016</t>
  </si>
  <si>
    <t>Maman Suherman</t>
  </si>
  <si>
    <t>TRX-017</t>
  </si>
  <si>
    <t>TRX-018</t>
  </si>
  <si>
    <t>Nina Tamam</t>
  </si>
  <si>
    <t>TRX-019</t>
  </si>
  <si>
    <t>Oki Setiana</t>
  </si>
  <si>
    <t>TRX-020</t>
  </si>
  <si>
    <t>Banndung</t>
  </si>
  <si>
    <t>Putri Titian</t>
  </si>
  <si>
    <t>TRX-021</t>
  </si>
  <si>
    <t>Qory Sandioriva</t>
  </si>
  <si>
    <t>TRX-022</t>
  </si>
  <si>
    <t>jakarta</t>
  </si>
  <si>
    <t>Rina Nose</t>
  </si>
  <si>
    <t>TRX-023</t>
  </si>
  <si>
    <t>Sule</t>
  </si>
  <si>
    <t>TRX-024</t>
  </si>
  <si>
    <t>Tukul Arwana</t>
  </si>
  <si>
    <t>TRX-025</t>
  </si>
  <si>
    <t>Uya Kuya</t>
  </si>
  <si>
    <t>TRX-026</t>
  </si>
  <si>
    <t>Vicky Prasetyo</t>
  </si>
  <si>
    <t>TRX-027</t>
  </si>
  <si>
    <t>Wendi Cagur</t>
  </si>
  <si>
    <t>TRX-028</t>
  </si>
  <si>
    <t>Xavier</t>
  </si>
  <si>
    <t>TRX-029</t>
  </si>
  <si>
    <t xml:space="preserve"> Bandung</t>
  </si>
  <si>
    <t>Yuni Shara</t>
  </si>
  <si>
    <t>TRX-030</t>
  </si>
  <si>
    <t>Zaskia Gotik</t>
  </si>
  <si>
    <t>TRX-031</t>
  </si>
  <si>
    <t>Ahmad Dhani</t>
  </si>
  <si>
    <t>TRX-032</t>
  </si>
  <si>
    <t xml:space="preserve">Jakarta  </t>
  </si>
  <si>
    <t>Bunga Citra</t>
  </si>
  <si>
    <t>TRX-033</t>
  </si>
  <si>
    <t>Cakra Khan</t>
  </si>
  <si>
    <t>TRX-034</t>
  </si>
  <si>
    <t>Didi Kempot</t>
  </si>
  <si>
    <t>TRX-035</t>
  </si>
  <si>
    <t>Ebit G Ade</t>
  </si>
  <si>
    <t xml:space="preserve">  Medan</t>
  </si>
  <si>
    <t>Opick</t>
  </si>
  <si>
    <t>TRX-036</t>
  </si>
  <si>
    <t>TRX-038</t>
  </si>
  <si>
    <t>Haji Bolot</t>
  </si>
  <si>
    <t>TRX-039</t>
  </si>
  <si>
    <t>Iwan Fals</t>
  </si>
  <si>
    <t>TRX-040</t>
  </si>
  <si>
    <t>Judika</t>
  </si>
  <si>
    <t>TRX-041</t>
  </si>
  <si>
    <t>medan</t>
  </si>
  <si>
    <t>Krisdayanti</t>
  </si>
  <si>
    <t>TRX-042</t>
  </si>
  <si>
    <t>Lesti Kejora</t>
  </si>
  <si>
    <t>TRX-043</t>
  </si>
  <si>
    <t>Melly Goeslaw</t>
  </si>
  <si>
    <t>TRX-044</t>
  </si>
  <si>
    <t>Nike Ardilla</t>
  </si>
  <si>
    <t>TRX-045</t>
  </si>
  <si>
    <t>TRX-046</t>
  </si>
  <si>
    <t>Pasha Ungu</t>
  </si>
  <si>
    <t>TRX-047</t>
  </si>
  <si>
    <t>TRX-048</t>
  </si>
  <si>
    <t>Rhoma Irama</t>
  </si>
  <si>
    <t>TRX-049</t>
  </si>
  <si>
    <t>Slank</t>
  </si>
  <si>
    <t>TRX-050</t>
  </si>
  <si>
    <t>Tulus</t>
  </si>
  <si>
    <t>Row Labels</t>
  </si>
  <si>
    <t>(blank)</t>
  </si>
  <si>
    <t>Grand Total</t>
  </si>
  <si>
    <t>I/29/2024</t>
  </si>
  <si>
    <t>Average</t>
  </si>
  <si>
    <t>Median</t>
  </si>
  <si>
    <t>Jumlah Beli</t>
  </si>
  <si>
    <t>Harga Satuan</t>
  </si>
  <si>
    <t>Nama_Produk</t>
  </si>
  <si>
    <t>Kategori</t>
  </si>
  <si>
    <t>Modal</t>
  </si>
  <si>
    <t>Kemeja Kasual</t>
  </si>
  <si>
    <t>Pakaian</t>
  </si>
  <si>
    <t>Celana Jeans</t>
  </si>
  <si>
    <t>Sepatu Sneakers</t>
  </si>
  <si>
    <t>Sepatu</t>
  </si>
  <si>
    <t>Tas Ransel</t>
  </si>
  <si>
    <t>Aksesoris</t>
  </si>
  <si>
    <t>Kaos Kaki</t>
  </si>
  <si>
    <t>Nama Produk</t>
  </si>
  <si>
    <t>Harga Modal</t>
  </si>
  <si>
    <t>Total_Omzet</t>
  </si>
  <si>
    <t>Total_Modal</t>
  </si>
  <si>
    <t>Total_Profit</t>
  </si>
  <si>
    <t>Sum of Total_Profit</t>
  </si>
  <si>
    <t>Sum of Total_Omzet</t>
  </si>
  <si>
    <t>Sum of % Margin</t>
  </si>
  <si>
    <t>Jan</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</si>
  <si>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</si>
  <si>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</si>
  <si>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</si>
  <si>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</si>
  <si>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</si>
  <si>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</si>
  <si>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</si>
  <si>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</si>
  <si>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</si>
  <si>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</si>
  <si>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</si>
  <si>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</si>
  <si>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</si>
  <si>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</si>
  <si>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</si>
  <si>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</si>
  <si>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</si>
  <si>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</si>
  <si>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</si>
  <si>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</si>
  <si>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</si>
  <si>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</si>
  <si>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</si>
  <si>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</si>
  <si>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</si>
  <si>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</si>
  <si>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</si>
  <si>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</si>
  <si>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</si>
  <si>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31-Jan</t>
  </si>
  <si>
    <t>Feb</t>
  </si>
  <si>
    <t>01-Feb</t>
  </si>
  <si>
    <t>02-Feb</t>
  </si>
  <si>
    <t>03-Feb</t>
  </si>
  <si>
    <t>04-Feb</t>
  </si>
  <si>
    <t>05-Feb</t>
  </si>
  <si>
    <t>06-Feb</t>
  </si>
  <si>
    <t>07-Feb</t>
  </si>
  <si>
    <t>08-Feb</t>
  </si>
  <si>
    <t>09-Feb</t>
  </si>
  <si>
    <t>10-Feb</t>
  </si>
  <si>
    <t>11-Feb</t>
  </si>
  <si>
    <t>12-Feb</t>
  </si>
  <si>
    <t>Top 10 Customer</t>
  </si>
  <si>
    <t>Analisis Profitibilitas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</si>
</sst>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NumberFormat="1" applyFill="1"/>
    <xf numFmtId="14" fontId="0" fillId="4" borderId="0" xfId="0" applyNumberFormat="1" applyFill="1"/>
    <xf numFmtId="164" fontId="0" fillId="0" borderId="0" xfId="0" applyNumberFormat="1"/>
    <xf numFmtId="164" fontId="0" fillId="3" borderId="0" xfId="0" applyNumberFormat="1" applyFill="1"/>
    <xf numFmtId="9" fontId="0" fillId="0" borderId="0" xfId="0" applyNumberFormat="1"/>
    <xf numFmtId="14" fontId="0" fillId="0" borderId="0" xfId="0" applyNumberFormat="1" applyAlignment="1">
      <alignment horizontal="left" indent="1"/>
    </xf>
    <xf numFmtId="42" fontId="0" fillId="0" borderId="0" xfId="0" applyNumberFormat="1"/>
    <xf numFmtId="0" fontId="0" fillId="0" borderId="1" xfId="0" applyBorder="1"/>
    <xf numFmtId="0" fontId="1" fillId="0" borderId="1" xfId="0" applyFont="1" applyBorder="1"/>
  </cellXfs>
  <cellStyles count="1">
    <cellStyle name="Normal" xfId="0" builtinId="0"/>
  </cellStyles>
  <dxfs count="87">
    <dxf>
      <numFmt numFmtId="13" formatCode="0%"/>
    </dxf>
    <dxf>
      <numFmt numFmtId="13" formatCode="0%"/>
    </dxf>
    <dxf>
      <numFmt numFmtId="32" formatCode="_-&quot;Rp&quot;* #,##0_-;\-&quot;Rp&quot;* #,##0_-;_-&quot;Rp&quot;* &quot;-&quot;_-;_-@_-"/>
    </dxf>
    <dxf>
      <numFmt numFmtId="13" formatCode="0%"/>
    </dxf>
    <dxf>
      <numFmt numFmtId="13" formatCode="0%"/>
    </dxf>
    <dxf>
      <numFmt numFmtId="32" formatCode="_-&quot;Rp&quot;* #,##0_-;\-&quot;Rp&quot;* #,##0_-;_-&quot;Rp&quot;* &quot;-&quot;_-;_-@_-"/>
    </dxf>
    <dxf>
      <numFmt numFmtId="13" formatCode="0%"/>
    </dxf>
    <dxf>
      <numFmt numFmtId="13" formatCode="0%"/>
    </dxf>
    <dxf>
      <numFmt numFmtId="32" formatCode="_-&quot;Rp&quot;* #,##0_-;\-&quot;Rp&quot;* #,##0_-;_-&quot;Rp&quot;* &quot;-&quot;_-;_-@_-"/>
    </dxf>
    <dxf>
      <numFmt numFmtId="13" formatCode="0%"/>
    </dxf>
    <dxf>
      <numFmt numFmtId="13" formatCode="0%"/>
    </dxf>
    <dxf>
      <numFmt numFmtId="32" formatCode="_-&quot;Rp&quot;* #,##0_-;\-&quot;Rp&quot;* #,##0_-;_-&quot;Rp&quot;* &quot;-&quot;_-;_-@_-"/>
    </dxf>
    <dxf>
      <numFmt numFmtId="13" formatCode="0%"/>
    </dxf>
    <dxf>
      <numFmt numFmtId="13" formatCode="0%"/>
    </dxf>
    <dxf>
      <numFmt numFmtId="32" formatCode="_-&quot;Rp&quot;* #,##0_-;\-&quot;Rp&quot;* #,##0_-;_-&quot;Rp&quot;* &quot;-&quot;_-;_-@_-"/>
    </dxf>
    <dxf>
      <numFmt numFmtId="13" formatCode="0%"/>
    </dxf>
    <dxf>
      <numFmt numFmtId="13" formatCode="0%"/>
    </dxf>
    <dxf>
      <numFmt numFmtId="32" formatCode="_-&quot;Rp&quot;* #,##0_-;\-&quot;Rp&quot;* #,##0_-;_-&quot;Rp&quot;* &quot;-&quot;_-;_-@_-"/>
    </dxf>
    <dxf>
      <numFmt numFmtId="13" formatCode="0%"/>
    </dxf>
    <dxf>
      <numFmt numFmtId="13" formatCode="0%"/>
    </dxf>
    <dxf>
      <numFmt numFmtId="32" formatCode="_-&quot;Rp&quot;* #,##0_-;\-&quot;Rp&quot;* #,##0_-;_-&quot;Rp&quot;* &quot;-&quot;_-;_-@_-"/>
    </dxf>
    <dxf>
      <numFmt numFmtId="13" formatCode="0%"/>
    </dxf>
    <dxf>
      <numFmt numFmtId="13" formatCode="0%"/>
    </dxf>
    <dxf>
      <numFmt numFmtId="32" formatCode="_-&quot;Rp&quot;* #,##0_-;\-&quot;Rp&quot;* #,##0_-;_-&quot;Rp&quot;* &quot;-&quot;_-;_-@_-"/>
    </dxf>
    <dxf>
      <numFmt numFmtId="13" formatCode="0%"/>
    </dxf>
    <dxf>
      <numFmt numFmtId="13" formatCode="0%"/>
    </dxf>
    <dxf>
      <numFmt numFmtId="32" formatCode="_-&quot;Rp&quot;* #,##0_-;\-&quot;Rp&quot;* #,##0_-;_-&quot;Rp&quot;* &quot;-&quot;_-;_-@_-"/>
    </dxf>
    <dxf>
      <numFmt numFmtId="13" formatCode="0%"/>
    </dxf>
    <dxf>
      <numFmt numFmtId="13" formatCode="0%"/>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32" formatCode="_-&quot;Rp&quot;* #,##0_-;\-&quot;Rp&quot;* #,##0_-;_-&quot;Rp&quot;* &quot;-&quot;_-;_-@_-"/>
    </dxf>
    <dxf>
      <numFmt numFmtId="13" formatCode="0%"/>
    </dxf>
    <dxf>
      <numFmt numFmtId="13" formatCode="0%"/>
    </dxf>
    <dxf>
      <numFmt numFmtId="32" formatCode="_-&quot;Rp&quot;* #,##0_-;\-&quot;Rp&quot;* #,##0_-;_-&quot;Rp&quot;* &quot;-&quot;_-;_-@_-"/>
    </dxf>
    <dxf>
      <numFmt numFmtId="0" formatCode="General"/>
    </dxf>
    <dxf>
      <numFmt numFmtId="0" formatCode="General"/>
    </dxf>
    <dxf>
      <numFmt numFmtId="0" formatCode="General"/>
    </dxf>
    <dxf>
      <numFmt numFmtId="164" formatCode="&quot;Rp&quot;#,##0"/>
    </dxf>
    <dxf>
      <numFmt numFmtId="164" formatCode="&quot;Rp&quot;#,##0"/>
    </dxf>
    <dxf>
      <numFmt numFmtId="164" formatCode="&quot;Rp&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19" formatCode="dd/mm/yyyy"/>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19" formatCode="dd/mm/yyyy"/>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 1 - Alifa Raida Alamsyah.xlsx]6. Pivot Table!PivotTable16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 Pivot Table'!$B$3</c:f>
              <c:strCache>
                <c:ptCount val="1"/>
                <c:pt idx="0">
                  <c:v>Sum of Total_Omzet</c:v>
                </c:pt>
              </c:strCache>
            </c:strRef>
          </c:tx>
          <c:spPr>
            <a:solidFill>
              <a:schemeClr val="accent1"/>
            </a:solidFill>
            <a:ln>
              <a:noFill/>
            </a:ln>
            <a:effectLst/>
          </c:spPr>
          <c:invertIfNegative val="0"/>
          <c:cat>
            <c:strRef>
              <c:f>'6. Pivot Table'!$A$4:$A$9</c:f>
              <c:strCache>
                <c:ptCount val="5"/>
                <c:pt idx="0">
                  <c:v>Celana Jeans</c:v>
                </c:pt>
                <c:pt idx="1">
                  <c:v>Kaos Kaki</c:v>
                </c:pt>
                <c:pt idx="2">
                  <c:v>Kemeja Kasual</c:v>
                </c:pt>
                <c:pt idx="3">
                  <c:v>Sepatu Sneakers</c:v>
                </c:pt>
                <c:pt idx="4">
                  <c:v>Tas Ransel</c:v>
                </c:pt>
              </c:strCache>
            </c:strRef>
          </c:cat>
          <c:val>
            <c:numRef>
              <c:f>'6. Pivot Table'!$B$4:$B$9</c:f>
              <c:numCache>
                <c:formatCode>_("Rp"* #,##0_);_("Rp"* \(#,##0\);_("Rp"* "-"_);_(@_)</c:formatCode>
                <c:ptCount val="5"/>
                <c:pt idx="0">
                  <c:v>4000000</c:v>
                </c:pt>
                <c:pt idx="1">
                  <c:v>7700000</c:v>
                </c:pt>
                <c:pt idx="2">
                  <c:v>6150000</c:v>
                </c:pt>
                <c:pt idx="3">
                  <c:v>5650000</c:v>
                </c:pt>
                <c:pt idx="4">
                  <c:v>2850000</c:v>
                </c:pt>
              </c:numCache>
            </c:numRef>
          </c:val>
          <c:extLst>
            <c:ext xmlns:c16="http://schemas.microsoft.com/office/drawing/2014/chart" uri="{C3380CC4-5D6E-409C-BE32-E72D297353CC}">
              <c16:uniqueId val="{00000000-7A07-407C-B6EE-CFFA72F1F72B}"/>
            </c:ext>
          </c:extLst>
        </c:ser>
        <c:ser>
          <c:idx val="1"/>
          <c:order val="1"/>
          <c:tx>
            <c:strRef>
              <c:f>'6. Pivot Table'!$C$3</c:f>
              <c:strCache>
                <c:ptCount val="1"/>
                <c:pt idx="0">
                  <c:v>Sum of Total_Profit</c:v>
                </c:pt>
              </c:strCache>
            </c:strRef>
          </c:tx>
          <c:spPr>
            <a:solidFill>
              <a:schemeClr val="accent2"/>
            </a:solidFill>
            <a:ln>
              <a:noFill/>
            </a:ln>
            <a:effectLst/>
          </c:spPr>
          <c:invertIfNegative val="0"/>
          <c:cat>
            <c:strRef>
              <c:f>'6. Pivot Table'!$A$4:$A$9</c:f>
              <c:strCache>
                <c:ptCount val="5"/>
                <c:pt idx="0">
                  <c:v>Celana Jeans</c:v>
                </c:pt>
                <c:pt idx="1">
                  <c:v>Kaos Kaki</c:v>
                </c:pt>
                <c:pt idx="2">
                  <c:v>Kemeja Kasual</c:v>
                </c:pt>
                <c:pt idx="3">
                  <c:v>Sepatu Sneakers</c:v>
                </c:pt>
                <c:pt idx="4">
                  <c:v>Tas Ransel</c:v>
                </c:pt>
              </c:strCache>
            </c:strRef>
          </c:cat>
          <c:val>
            <c:numRef>
              <c:f>'6. Pivot Table'!$C$4:$C$9</c:f>
              <c:numCache>
                <c:formatCode>_("Rp"* #,##0_);_("Rp"* \(#,##0\);_("Rp"* "-"_);_(@_)</c:formatCode>
                <c:ptCount val="5"/>
                <c:pt idx="0">
                  <c:v>1600000</c:v>
                </c:pt>
                <c:pt idx="1">
                  <c:v>7015000</c:v>
                </c:pt>
                <c:pt idx="2">
                  <c:v>2870000</c:v>
                </c:pt>
                <c:pt idx="3">
                  <c:v>2050000</c:v>
                </c:pt>
                <c:pt idx="4">
                  <c:v>90000</c:v>
                </c:pt>
              </c:numCache>
            </c:numRef>
          </c:val>
          <c:extLst>
            <c:ext xmlns:c16="http://schemas.microsoft.com/office/drawing/2014/chart" uri="{C3380CC4-5D6E-409C-BE32-E72D297353CC}">
              <c16:uniqueId val="{00000001-7A07-407C-B6EE-CFFA72F1F72B}"/>
            </c:ext>
          </c:extLst>
        </c:ser>
        <c:ser>
          <c:idx val="2"/>
          <c:order val="2"/>
          <c:tx>
            <c:strRef>
              <c:f>'6. Pivot Table'!$D$3</c:f>
              <c:strCache>
                <c:ptCount val="1"/>
                <c:pt idx="0">
                  <c:v>Sum of % Margin</c:v>
                </c:pt>
              </c:strCache>
            </c:strRef>
          </c:tx>
          <c:spPr>
            <a:solidFill>
              <a:schemeClr val="accent3"/>
            </a:solidFill>
            <a:ln>
              <a:noFill/>
            </a:ln>
            <a:effectLst/>
          </c:spPr>
          <c:invertIfNegative val="0"/>
          <c:cat>
            <c:strRef>
              <c:f>'6. Pivot Table'!$A$4:$A$9</c:f>
              <c:strCache>
                <c:ptCount val="5"/>
                <c:pt idx="0">
                  <c:v>Celana Jeans</c:v>
                </c:pt>
                <c:pt idx="1">
                  <c:v>Kaos Kaki</c:v>
                </c:pt>
                <c:pt idx="2">
                  <c:v>Kemeja Kasual</c:v>
                </c:pt>
                <c:pt idx="3">
                  <c:v>Sepatu Sneakers</c:v>
                </c:pt>
                <c:pt idx="4">
                  <c:v>Tas Ransel</c:v>
                </c:pt>
              </c:strCache>
            </c:strRef>
          </c:cat>
          <c:val>
            <c:numRef>
              <c:f>'6. Pivot Table'!$D$4:$D$9</c:f>
              <c:numCache>
                <c:formatCode>0%</c:formatCode>
                <c:ptCount val="5"/>
                <c:pt idx="0">
                  <c:v>0.4</c:v>
                </c:pt>
                <c:pt idx="1">
                  <c:v>0.91103896103896109</c:v>
                </c:pt>
                <c:pt idx="2">
                  <c:v>0.46666666666666667</c:v>
                </c:pt>
                <c:pt idx="3">
                  <c:v>0.36283185840707965</c:v>
                </c:pt>
                <c:pt idx="4">
                  <c:v>3.1578947368421054E-2</c:v>
                </c:pt>
              </c:numCache>
            </c:numRef>
          </c:val>
          <c:extLst>
            <c:ext xmlns:c16="http://schemas.microsoft.com/office/drawing/2014/chart" uri="{C3380CC4-5D6E-409C-BE32-E72D297353CC}">
              <c16:uniqueId val="{00000002-7A07-407C-B6EE-CFFA72F1F72B}"/>
            </c:ext>
          </c:extLst>
        </c:ser>
        <c:dLbls>
          <c:showLegendKey val="0"/>
          <c:showVal val="0"/>
          <c:showCatName val="0"/>
          <c:showSerName val="0"/>
          <c:showPercent val="0"/>
          <c:showBubbleSize val="0"/>
        </c:dLbls>
        <c:gapWidth val="219"/>
        <c:overlap val="-27"/>
        <c:axId val="842800127"/>
        <c:axId val="842801375"/>
      </c:barChart>
      <c:catAx>
        <c:axId val="84280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801375"/>
        <c:crosses val="autoZero"/>
        <c:auto val="1"/>
        <c:lblAlgn val="ctr"/>
        <c:lblOffset val="100"/>
        <c:noMultiLvlLbl val="0"/>
      </c:catAx>
      <c:valAx>
        <c:axId val="842801375"/>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280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 1 - Alifa Raida Alamsyah.xlsx]6. Pivot Table!PivotTable17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 Omzet Harian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 Pivot Table'!$B$12</c:f>
              <c:strCache>
                <c:ptCount val="1"/>
                <c:pt idx="0">
                  <c:v>Total</c:v>
                </c:pt>
              </c:strCache>
            </c:strRef>
          </c:tx>
          <c:spPr>
            <a:ln w="28575" cap="rnd">
              <a:solidFill>
                <a:schemeClr val="accent1"/>
              </a:solidFill>
              <a:round/>
            </a:ln>
            <a:effectLst/>
          </c:spPr>
          <c:marker>
            <c:symbol val="none"/>
          </c:marker>
          <c:cat>
            <c:multiLvlStrRef>
              <c:f>'6. Pivot Table'!$A$13:$A$57</c:f>
              <c:multiLvlStrCache>
                <c:ptCount val="42"/>
                <c:lvl>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31-Jan</c:v>
                  </c:pt>
                  <c:pt idx="30">
                    <c:v>01-Feb</c:v>
                  </c:pt>
                  <c:pt idx="31">
                    <c:v>02-Feb</c:v>
                  </c:pt>
                  <c:pt idx="32">
                    <c:v>03-Feb</c:v>
                  </c:pt>
                  <c:pt idx="33">
                    <c:v>04-Feb</c:v>
                  </c:pt>
                  <c:pt idx="34">
                    <c:v>05-Feb</c:v>
                  </c:pt>
                  <c:pt idx="35">
                    <c:v>06-Feb</c:v>
                  </c:pt>
                  <c:pt idx="36">
                    <c:v>07-Feb</c:v>
                  </c:pt>
                  <c:pt idx="37">
                    <c:v>08-Feb</c:v>
                  </c:pt>
                  <c:pt idx="38">
                    <c:v>09-Feb</c:v>
                  </c:pt>
                  <c:pt idx="39">
                    <c:v>10-Feb</c:v>
                  </c:pt>
                  <c:pt idx="40">
                    <c:v>11-Feb</c:v>
                  </c:pt>
                  <c:pt idx="41">
                    <c:v>12-Feb</c:v>
                  </c:pt>
                </c:lvl>
                <c:lvl>
                  <c:pt idx="0">
                    <c:v>Jan</c:v>
                  </c:pt>
                  <c:pt idx="30">
                    <c:v>Feb</c:v>
                  </c:pt>
                </c:lvl>
              </c:multiLvlStrCache>
            </c:multiLvlStrRef>
          </c:cat>
          <c:val>
            <c:numRef>
              <c:f>'6. Pivot Table'!$B$13:$B$57</c:f>
              <c:numCache>
                <c:formatCode>_("Rp"* #,##0_);_("Rp"* \(#,##0\);_("Rp"* "-"_);_(@_)</c:formatCode>
                <c:ptCount val="42"/>
                <c:pt idx="0">
                  <c:v>550000</c:v>
                </c:pt>
                <c:pt idx="1">
                  <c:v>1250000</c:v>
                </c:pt>
                <c:pt idx="2">
                  <c:v>1000000</c:v>
                </c:pt>
                <c:pt idx="3">
                  <c:v>600000</c:v>
                </c:pt>
                <c:pt idx="4">
                  <c:v>550000</c:v>
                </c:pt>
                <c:pt idx="5">
                  <c:v>550000</c:v>
                </c:pt>
                <c:pt idx="6">
                  <c:v>600000</c:v>
                </c:pt>
                <c:pt idx="7">
                  <c:v>150000</c:v>
                </c:pt>
                <c:pt idx="8">
                  <c:v>200000</c:v>
                </c:pt>
                <c:pt idx="9">
                  <c:v>900000</c:v>
                </c:pt>
                <c:pt idx="10">
                  <c:v>500000</c:v>
                </c:pt>
                <c:pt idx="11">
                  <c:v>500000</c:v>
                </c:pt>
                <c:pt idx="12">
                  <c:v>480000</c:v>
                </c:pt>
                <c:pt idx="13">
                  <c:v>150000</c:v>
                </c:pt>
                <c:pt idx="14">
                  <c:v>150000</c:v>
                </c:pt>
                <c:pt idx="15">
                  <c:v>250000</c:v>
                </c:pt>
                <c:pt idx="16">
                  <c:v>1000000</c:v>
                </c:pt>
                <c:pt idx="17">
                  <c:v>750000</c:v>
                </c:pt>
                <c:pt idx="18">
                  <c:v>240000</c:v>
                </c:pt>
                <c:pt idx="19">
                  <c:v>250000</c:v>
                </c:pt>
                <c:pt idx="20">
                  <c:v>3750000</c:v>
                </c:pt>
                <c:pt idx="21">
                  <c:v>500000</c:v>
                </c:pt>
                <c:pt idx="22">
                  <c:v>300000</c:v>
                </c:pt>
                <c:pt idx="23">
                  <c:v>750000</c:v>
                </c:pt>
                <c:pt idx="24">
                  <c:v>120000</c:v>
                </c:pt>
                <c:pt idx="25">
                  <c:v>600000</c:v>
                </c:pt>
                <c:pt idx="26">
                  <c:v>300000</c:v>
                </c:pt>
                <c:pt idx="27">
                  <c:v>500000</c:v>
                </c:pt>
                <c:pt idx="28">
                  <c:v>900000</c:v>
                </c:pt>
                <c:pt idx="29">
                  <c:v>240000</c:v>
                </c:pt>
                <c:pt idx="30">
                  <c:v>100000</c:v>
                </c:pt>
                <c:pt idx="31">
                  <c:v>500000</c:v>
                </c:pt>
                <c:pt idx="32">
                  <c:v>250000</c:v>
                </c:pt>
                <c:pt idx="33">
                  <c:v>450000</c:v>
                </c:pt>
                <c:pt idx="34">
                  <c:v>600000</c:v>
                </c:pt>
                <c:pt idx="35">
                  <c:v>3000000</c:v>
                </c:pt>
                <c:pt idx="36">
                  <c:v>1000000</c:v>
                </c:pt>
                <c:pt idx="37">
                  <c:v>500000</c:v>
                </c:pt>
                <c:pt idx="38">
                  <c:v>600000</c:v>
                </c:pt>
                <c:pt idx="39">
                  <c:v>120000</c:v>
                </c:pt>
                <c:pt idx="40">
                  <c:v>150000</c:v>
                </c:pt>
                <c:pt idx="41">
                  <c:v>500000</c:v>
                </c:pt>
              </c:numCache>
            </c:numRef>
          </c:val>
          <c:smooth val="0"/>
          <c:extLst>
            <c:ext xmlns:c16="http://schemas.microsoft.com/office/drawing/2014/chart" uri="{C3380CC4-5D6E-409C-BE32-E72D297353CC}">
              <c16:uniqueId val="{00000000-01A0-4488-952D-E6A37B2A5D0E}"/>
            </c:ext>
          </c:extLst>
        </c:ser>
        <c:dLbls>
          <c:showLegendKey val="0"/>
          <c:showVal val="0"/>
          <c:showCatName val="0"/>
          <c:showSerName val="0"/>
          <c:showPercent val="0"/>
          <c:showBubbleSize val="0"/>
        </c:dLbls>
        <c:smooth val="0"/>
        <c:axId val="1905265679"/>
        <c:axId val="1905267343"/>
      </c:lineChart>
      <c:catAx>
        <c:axId val="190526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267343"/>
        <c:crosses val="autoZero"/>
        <c:auto val="1"/>
        <c:lblAlgn val="ctr"/>
        <c:lblOffset val="100"/>
        <c:noMultiLvlLbl val="0"/>
      </c:catAx>
      <c:valAx>
        <c:axId val="1905267343"/>
        <c:scaling>
          <c:orientation val="minMax"/>
        </c:scaling>
        <c:delete val="0"/>
        <c:axPos val="l"/>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26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[Tugas 1 - Alifa Raida Alamsyah.xlsx]6. Pivot Table!PivotTable1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'6. Pivot Table'!$B$60</c:f>
              <c:strCache>
                <c:ptCount val="1"/>
                <c:pt idx="0">
                  <c:v>Total</c:v>
                </c:pt>
              </c:strCache>
            </c:strRef>
          </c:tx>
          <c:spPr>
            <a:solidFill>
              <a:schemeClr val="accent1"/>
            </a:solidFill>
            <a:ln>
              <a:noFill/>
            </a:ln>
            <a:effectLst/>
          </c:spPr>
          <c:invertIfNegative val="0"/>
          <c:cat>
            <c:strRef>
              <c:f>'6. Pivot Table'!$A$61:$A$71</c:f>
              <c:strCache>
                <c:ptCount val="10"/>
                <c:pt idx="0">
                  <c:v>Uya Kuya</c:v>
                </c:pt>
                <c:pt idx="1">
                  <c:v>Ahmad Dhani</c:v>
                </c:pt>
                <c:pt idx="2">
                  <c:v>Maman Suherman</c:v>
                </c:pt>
                <c:pt idx="3">
                  <c:v>Citra Lestari</c:v>
                </c:pt>
                <c:pt idx="4">
                  <c:v>Tukul Arwana</c:v>
                </c:pt>
                <c:pt idx="5">
                  <c:v>Budi Santoso</c:v>
                </c:pt>
                <c:pt idx="6">
                  <c:v>Gita Gutawa</c:v>
                </c:pt>
                <c:pt idx="7">
                  <c:v>N/A</c:v>
                </c:pt>
                <c:pt idx="8">
                  <c:v>Nike Ardilla</c:v>
                </c:pt>
                <c:pt idx="9">
                  <c:v>Xavier</c:v>
                </c:pt>
              </c:strCache>
            </c:strRef>
          </c:cat>
          <c:val>
            <c:numRef>
              <c:f>'6. Pivot Table'!$B$61:$B$71</c:f>
              <c:numCache>
                <c:formatCode>_("Rp"* #,##0_);_("Rp"* \(#,##0\);_("Rp"* "-"_);_(@_)</c:formatCode>
                <c:ptCount val="10"/>
                <c:pt idx="0">
                  <c:v>750000</c:v>
                </c:pt>
                <c:pt idx="1">
                  <c:v>750000</c:v>
                </c:pt>
                <c:pt idx="2">
                  <c:v>900000</c:v>
                </c:pt>
                <c:pt idx="3">
                  <c:v>1000000</c:v>
                </c:pt>
                <c:pt idx="4">
                  <c:v>1000000</c:v>
                </c:pt>
                <c:pt idx="5">
                  <c:v>1050000</c:v>
                </c:pt>
                <c:pt idx="6">
                  <c:v>1400000</c:v>
                </c:pt>
                <c:pt idx="7">
                  <c:v>1900000</c:v>
                </c:pt>
                <c:pt idx="8">
                  <c:v>3000000</c:v>
                </c:pt>
                <c:pt idx="9">
                  <c:v>3750000</c:v>
                </c:pt>
              </c:numCache>
            </c:numRef>
          </c:val>
          <c:extLst>
            <c:ext xmlns:c16="http://schemas.microsoft.com/office/drawing/2014/chart" uri="{C3380CC4-5D6E-409C-BE32-E72D297353CC}">
              <c16:uniqueId val="{00000000-BA08-43C4-8246-C3386EE81BB0}"/>
            </c:ext>
          </c:extLst>
        </c:ser>
        <c:dLbls>
          <c:showLegendKey val="0"/>
          <c:showVal val="0"/>
          <c:showCatName val="0"/>
          <c:showSerName val="0"/>
          <c:showPercent val="0"/>
          <c:showBubbleSize val="0"/>
        </c:dLbls>
        <c:gapWidth val="182"/>
        <c:axId val="1683447727"/>
        <c:axId val="1683446895"/>
      </c:barChart>
      <c:catAx>
        <c:axId val="1683447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446895"/>
        <c:crosses val="autoZero"/>
        <c:auto val="1"/>
        <c:lblAlgn val="ctr"/>
        <c:lblOffset val="100"/>
        <c:noMultiLvlLbl val="0"/>
      </c:catAx>
      <c:valAx>
        <c:axId val="1683446895"/>
        <c:scaling>
          <c:orientation val="minMax"/>
        </c:scaling>
        <c:delete val="0"/>
        <c:axPos val="b"/>
        <c:majorGridlines>
          <c:spPr>
            <a:ln w="9525" cap="flat" cmpd="sng" algn="ctr">
              <a:solidFill>
                <a:schemeClr val="tx1">
                  <a:lumMod val="15000"/>
                  <a:lumOff val="85000"/>
                </a:schemeClr>
              </a:solidFill>
              <a:round/>
            </a:ln>
            <a:effectLst/>
          </c:spPr>
        </c:majorGridlines>
        <c:numFmt formatCode="_(&quot;Rp&quot;* #,##0_);_(&quot;Rp&quot;* \(#,##0\);_(&quot;Rp&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447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boxWhisker" uniqueId="{D359113F-1860-4258-97AA-0666AFF2F65A}">
          <cx:tx>
            <cx:txData>
              <cx:f>_xlchart.v1.0</cx:f>
              <cx:v>Jumlah_Beli</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plotArea>
      <cx:plotAreaRegion>
        <cx:series layoutId="boxWhisker" uniqueId="{3BCEFA5A-B509-4D17-B133-A204C6FA9596}">
          <cx:tx>
            <cx:txData>
              <cx:f>_xlchart.v1.2</cx:f>
              <cx:v>Jumlah_Beli</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34925</xdr:colOff>
      <xdr:row>0</xdr:row>
      <xdr:rowOff>161925</xdr:rowOff>
    </xdr:from>
    <xdr:to>
      <xdr:col>18</xdr:col>
      <xdr:colOff>339725</xdr:colOff>
      <xdr:row>15</xdr:row>
      <xdr:rowOff>142875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DCBDD3B-5DD0-4257-8601-428A3F216B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255125" y="161925"/>
              <a:ext cx="4572000" cy="274320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225425</xdr:colOff>
      <xdr:row>1</xdr:row>
      <xdr:rowOff>15875</xdr:rowOff>
    </xdr:from>
    <xdr:to>
      <xdr:col>19</xdr:col>
      <xdr:colOff>530225</xdr:colOff>
      <xdr:row>15</xdr:row>
      <xdr:rowOff>180975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C904479-C766-4C08-B79E-03C6034C1AD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131425" y="200025"/>
              <a:ext cx="4572000" cy="2743200"/>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505591</xdr:colOff>
      <xdr:row>2</xdr:row>
      <xdr:rowOff>32103</xdr:rowOff>
    </xdr:from>
    <xdr:to>
      <xdr:col>12</xdr:col>
      <xdr:colOff>191784</xdr:colOff>
      <xdr:row>16</xdr:row>
      <xdr:rowOff>171272</xdr:rowOff>
    </xdr:to>
    <xdr:graphicFrame macro="">
      <xdr:nvGraphicFramePr>
        <xdr:cNvPr id="3" name="Chart 2">
          <a:extLst>
            <a:ext uri="{FF2B5EF4-FFF2-40B4-BE49-F238E27FC236}">
              <a16:creationId xmlns:a16="http://schemas.microsoft.com/office/drawing/2014/main" id="{058725CB-D2DD-422E-9A91-FE40AC51F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587923</xdr:colOff>
      <xdr:row>18</xdr:row>
      <xdr:rowOff>35254</xdr:rowOff>
    </xdr:from>
    <xdr:to>
      <xdr:col>12</xdr:col>
      <xdr:colOff>255095</xdr:colOff>
      <xdr:row>32</xdr:row>
      <xdr:rowOff>172764</xdr:rowOff>
    </xdr:to>
    <xdr:graphicFrame macro="">
      <xdr:nvGraphicFramePr>
        <xdr:cNvPr id="4" name="Chart 3">
          <a:extLst>
            <a:ext uri="{FF2B5EF4-FFF2-40B4-BE49-F238E27FC236}">
              <a16:creationId xmlns:a16="http://schemas.microsoft.com/office/drawing/2014/main" id="{BAE56875-ACE5-4D2E-9922-1103A020D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498960</xdr:colOff>
      <xdr:row>2</xdr:row>
      <xdr:rowOff>39247</xdr:rowOff>
    </xdr:from>
    <xdr:to>
      <xdr:col>20</xdr:col>
      <xdr:colOff>198334</xdr:colOff>
      <xdr:row>16</xdr:row>
      <xdr:rowOff>180492</xdr:rowOff>
    </xdr:to>
    <xdr:graphicFrame macro="">
      <xdr:nvGraphicFramePr>
        <xdr:cNvPr id="5" name="Chart 4">
          <a:extLst>
            <a:ext uri="{FF2B5EF4-FFF2-40B4-BE49-F238E27FC236}">
              <a16:creationId xmlns:a16="http://schemas.microsoft.com/office/drawing/2014/main" id="{C839AACD-0FDA-4DD7-95F8-242AEFD6A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372533</xdr:colOff>
      <xdr:row>19</xdr:row>
      <xdr:rowOff>12700</xdr:rowOff>
    </xdr:from>
    <xdr:to>
      <xdr:col>19</xdr:col>
      <xdr:colOff>359833</xdr:colOff>
      <xdr:row>25</xdr:row>
      <xdr:rowOff>148167</xdr:rowOff>
    </xdr:to>
    <mc:AlternateContent xmlns:mc="http://schemas.openxmlformats.org/markup-compatibility/2006">
      <mc:Choice xmlns:a14="http://schemas.microsoft.com/office/drawing/2010/main" Requires="a14">
        <xdr:graphicFrame macro="">
          <xdr:nvGraphicFramePr>
            <xdr:cNvPr id="6" name="Kategori">
              <a:extLst>
                <a:ext uri="{FF2B5EF4-FFF2-40B4-BE49-F238E27FC236}">
                  <a16:creationId xmlns:a16="http://schemas.microsoft.com/office/drawing/2014/main" id="{F8EC885F-9D52-487C-BC4A-58047CBB0E59}"/>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dr:sp macro="" textlink="">
          <xdr:nvSpPr>
            <xdr:cNvPr id="0" name=""/>
            <xdr:cNvSpPr>
              <a:spLocks noTextEdit="1"/>
            </xdr:cNvSpPr>
          </xdr:nvSpPr>
          <xdr:spPr>
            <a:xfrm>
              <a:off x="12236584" y="3525295"/>
              <a:ext cx="1819958" cy="12447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139700</xdr:colOff>
      <xdr:row>18</xdr:row>
      <xdr:rowOff>129118</xdr:rowOff>
    </xdr:from>
    <xdr:to>
      <xdr:col>16</xdr:col>
      <xdr:colOff>127000</xdr:colOff>
      <xdr:row>26</xdr:row>
      <xdr:rowOff>137585</xdr:rowOff>
    </xdr:to>
    <mc:AlternateContent xmlns:mc="http://schemas.openxmlformats.org/markup-compatibility/2006">
      <mc:Choice xmlns:a14="http://schemas.microsoft.com/office/drawing/2010/main" Requires="a14">
        <xdr:graphicFrame macro="">
          <xdr:nvGraphicFramePr>
            <xdr:cNvPr id="7" name="Cabang">
              <a:extLst>
                <a:ext uri="{FF2B5EF4-FFF2-40B4-BE49-F238E27FC236}">
                  <a16:creationId xmlns:a16="http://schemas.microsoft.com/office/drawing/2014/main" id="{0A66BCE7-A279-4CCE-9719-B3FAF6FF5C08}"/>
                </a:ext>
              </a:extLst>
            </xdr:cNvPr>
            <xdr:cNvGraphicFramePr/>
          </xdr:nvGraphicFramePr>
          <xdr:xfrm>
            <a:off x="0" y="0"/>
            <a:ext cx="0" cy="0"/>
          </xdr:xfrm>
          <a:graphic>
            <a:graphicData uri="http://schemas.microsoft.com/office/drawing/2010/slicer">
              <sle:slicer xmlns:sle="http://schemas.microsoft.com/office/drawing/2010/slicer" name="Cabang"/>
            </a:graphicData>
          </a:graphic>
        </xdr:graphicFrame>
      </mc:Choice>
      <mc:Fallback>
        <xdr:sp macro="" textlink="">
          <xdr:nvSpPr>
            <xdr:cNvPr id="0" name=""/>
            <xdr:cNvSpPr>
              <a:spLocks noTextEdit="1"/>
            </xdr:cNvSpPr>
          </xdr:nvSpPr>
          <xdr:spPr>
            <a:xfrm>
              <a:off x="10171092" y="3456840"/>
              <a:ext cx="1819959" cy="148745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fa Raida Alamsyah" refreshedDate="46136.895497569443" createdVersion="7" refreshedVersion="7" minRefreshableVersion="3" recordCount="51" xr:uid="{7A9B5B71-5B37-4170-96F2-C0654789DF3C}">
  <cacheSource type="worksheet">
    <worksheetSource ref="D1:D1048576" sheet="2. Data Audit"/>
  </cacheSource>
  <cacheFields count="1">
    <cacheField name="Cabang" numFmtId="0">
      <sharedItems containsBlank="1" count="9">
        <s v="Jakarta"/>
        <s v="Bandung"/>
        <s v="Surabaya"/>
        <s v="Medan"/>
        <s v="Banndung"/>
        <s v=" Bandung"/>
        <s v="Jakarta  "/>
        <s v="  Medan"/>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fa Raida Alamsyah" refreshedDate="46136.915636921294" createdVersion="7" refreshedVersion="7" minRefreshableVersion="3" recordCount="50" xr:uid="{FB9CA37F-0B83-480D-AD90-4A9DF5022A90}">
  <cacheSource type="worksheet">
    <worksheetSource ref="D1:D1048576" sheet="3. Data Cleaning"/>
  </cacheSource>
  <cacheFields count="1">
    <cacheField name="Cabang" numFmtId="0">
      <sharedItems containsBlank="1" count="5">
        <s v="Jakarta"/>
        <s v="Bandung"/>
        <s v="Surabaya"/>
        <s v="Medan"/>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fa Raida Alamsyah" refreshedDate="46136.925269328705" createdVersion="7" refreshedVersion="7" minRefreshableVersion="3" recordCount="49" xr:uid="{24CBE950-D734-4AB4-B2E1-CE3F6B6A477A}">
  <cacheSource type="worksheet">
    <worksheetSource name="Data_Transaksi3568"/>
  </cacheSource>
  <cacheFields count="15">
    <cacheField name="ID_Transaksi" numFmtId="0">
      <sharedItems/>
    </cacheField>
    <cacheField name="Tanggal" numFmtId="14">
      <sharedItems containsSemiMixedTypes="0" containsNonDate="0" containsDate="1" containsString="0" minDate="2024-01-01T00:00:00" maxDate="2024-02-13T00:00:00" count="42">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1T00:00:00"/>
        <d v="2024-02-01T00:00:00"/>
        <d v="2024-02-02T00:00:00"/>
        <d v="2024-02-03T00:00:00"/>
        <d v="2024-02-04T00:00:00"/>
        <d v="2024-02-05T00:00:00"/>
        <d v="2024-02-06T00:00:00"/>
        <d v="2024-02-07T00:00:00"/>
        <d v="2024-02-08T00:00:00"/>
        <d v="2024-02-09T00:00:00"/>
        <d v="2024-02-10T00:00:00"/>
        <d v="2024-02-11T00:00:00"/>
        <d v="2024-02-12T00:00:00"/>
      </sharedItems>
      <fieldGroup par="14" base="1">
        <rangePr groupBy="days" startDate="2024-01-01T00:00:00" endDate="2024-02-13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3/02/2024"/>
        </groupItems>
      </fieldGroup>
    </cacheField>
    <cacheField name="Kode_Produk" numFmtId="0">
      <sharedItems/>
    </cacheField>
    <cacheField name="Nama Produk" numFmtId="0">
      <sharedItems count="5">
        <s v="Kemeja Kasual"/>
        <s v="Celana Jeans"/>
        <s v="Sepatu Sneakers"/>
        <s v="Tas Ransel"/>
        <s v="Kaos Kaki"/>
      </sharedItems>
    </cacheField>
    <cacheField name="Kategori" numFmtId="0">
      <sharedItems count="3">
        <s v="Pakaian"/>
        <s v="Sepatu"/>
        <s v="Aksesoris"/>
      </sharedItems>
    </cacheField>
    <cacheField name="Cabang" numFmtId="0">
      <sharedItems count="4">
        <s v="Jakarta"/>
        <s v="Bandung"/>
        <s v="Surabaya"/>
        <s v="Medan"/>
      </sharedItems>
    </cacheField>
    <cacheField name="Jumlah_Beli" numFmtId="0">
      <sharedItems containsSemiMixedTypes="0" containsString="0" containsNumber="1" containsInteger="1" minValue="1" maxValue="30"/>
    </cacheField>
    <cacheField name="Harga Modal" numFmtId="0">
      <sharedItems containsSemiMixedTypes="0" containsString="0" containsNumber="1" containsInteger="1" minValue="5000" maxValue="300000"/>
    </cacheField>
    <cacheField name="Harga_Satuan" numFmtId="0">
      <sharedItems containsSemiMixedTypes="0" containsString="0" containsNumber="1" containsInteger="1" minValue="10000" maxValue="500000"/>
    </cacheField>
    <cacheField name="Nama_Pelanggan" numFmtId="0">
      <sharedItems count="43">
        <s v="Budi Santoso"/>
        <s v="Siti Aminah"/>
        <s v="Andi Wijaya"/>
        <s v="Citra Lestari"/>
        <s v="Dewi Sartika"/>
        <s v="Eko Prasetyo"/>
        <s v="Fajar Nugraha"/>
        <s v="Gita Gutawa"/>
        <s v="N/A"/>
        <s v="Indah Permata"/>
        <s v="Joko Anwar"/>
        <s v="Kiki Amalia"/>
        <s v="Lina Marlina"/>
        <s v="Maman Suherman"/>
        <s v="Nina Tamam"/>
        <s v="Oki Setiana"/>
        <s v="Putri Titian"/>
        <s v="Qory Sandioriva"/>
        <s v="Rina Nose"/>
        <s v="Sule"/>
        <s v="Tukul Arwana"/>
        <s v="Uya Kuya"/>
        <s v="Vicky Prasetyo"/>
        <s v="Wendi Cagur"/>
        <s v="Xavier"/>
        <s v="Yuni Shara"/>
        <s v="Zaskia Gotik"/>
        <s v="Ahmad Dhani"/>
        <s v="Bunga Citra"/>
        <s v="Cakra Khan"/>
        <s v="Didi Kempot"/>
        <s v="Ebit G Ade"/>
        <s v="Haji Bolot"/>
        <s v="Iwan Fals"/>
        <s v="Judika"/>
        <s v="Krisdayanti"/>
        <s v="Lesti Kejora"/>
        <s v="Melly Goeslaw"/>
        <s v="Nike Ardilla"/>
        <s v="Pasha Ungu"/>
        <s v="Rhoma Irama"/>
        <s v="Slank"/>
        <s v="Tulus"/>
      </sharedItems>
    </cacheField>
    <cacheField name="Total_Omzet" numFmtId="164">
      <sharedItems containsSemiMixedTypes="0" containsString="0" containsNumber="1" containsInteger="1" minValue="50000" maxValue="3750000"/>
    </cacheField>
    <cacheField name="Total_Modal" numFmtId="164">
      <sharedItems containsSemiMixedTypes="0" containsString="0" containsNumber="1" containsInteger="1" minValue="10000" maxValue="600000"/>
    </cacheField>
    <cacheField name="Total_Profit" numFmtId="164">
      <sharedItems containsSemiMixedTypes="0" containsString="0" containsNumber="1" containsInteger="1" minValue="-150000" maxValue="3625000"/>
    </cacheField>
    <cacheField name="% Margin" numFmtId="0" formula="Total_Profit/Total_Omzet" databaseField="0"/>
    <cacheField name="Months" numFmtId="0" databaseField="0">
      <fieldGroup base="1">
        <rangePr groupBy="months" startDate="2024-01-01T00:00:00" endDate="2024-02-13T00:00:00"/>
        <groupItems count="14">
          <s v="&lt;01/01/2024"/>
          <s v="Jan"/>
          <s v="Feb"/>
          <s v="Mar"/>
          <s v="Apr"/>
          <s v="May"/>
          <s v="Jun"/>
          <s v="Jul"/>
          <s v="Aug"/>
          <s v="Sep"/>
          <s v="Oct"/>
          <s v="Nov"/>
          <s v="Dec"/>
          <s v="&gt;13/02/2024"/>
        </groupItems>
      </fieldGroup>
    </cacheField>
  </cacheFields>
  <extLst>
    <ext xmlns:x14="http://schemas.microsoft.com/office/spreadsheetml/2009/9/main" uri="{725AE2AE-9491-48be-B2B4-4EB974FC3084}">
      <x14:pivotCacheDefinition pivotCacheId="14312371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r>
  <r>
    <x v="1"/>
  </r>
  <r>
    <x v="0"/>
  </r>
  <r>
    <x v="2"/>
  </r>
  <r>
    <x v="0"/>
  </r>
  <r>
    <x v="0"/>
  </r>
  <r>
    <x v="3"/>
  </r>
  <r>
    <x v="1"/>
  </r>
  <r>
    <x v="2"/>
  </r>
  <r>
    <x v="0"/>
  </r>
  <r>
    <x v="3"/>
  </r>
  <r>
    <x v="0"/>
  </r>
  <r>
    <x v="2"/>
  </r>
  <r>
    <x v="1"/>
  </r>
  <r>
    <x v="3"/>
  </r>
  <r>
    <x v="0"/>
  </r>
  <r>
    <x v="0"/>
  </r>
  <r>
    <x v="2"/>
  </r>
  <r>
    <x v="0"/>
  </r>
  <r>
    <x v="4"/>
  </r>
  <r>
    <x v="3"/>
  </r>
  <r>
    <x v="0"/>
  </r>
  <r>
    <x v="2"/>
  </r>
  <r>
    <x v="1"/>
  </r>
  <r>
    <x v="0"/>
  </r>
  <r>
    <x v="3"/>
  </r>
  <r>
    <x v="0"/>
  </r>
  <r>
    <x v="2"/>
  </r>
  <r>
    <x v="5"/>
  </r>
  <r>
    <x v="0"/>
  </r>
  <r>
    <x v="3"/>
  </r>
  <r>
    <x v="6"/>
  </r>
  <r>
    <x v="2"/>
  </r>
  <r>
    <x v="1"/>
  </r>
  <r>
    <x v="0"/>
  </r>
  <r>
    <x v="7"/>
  </r>
  <r>
    <x v="0"/>
  </r>
  <r>
    <x v="2"/>
  </r>
  <r>
    <x v="1"/>
  </r>
  <r>
    <x v="0"/>
  </r>
  <r>
    <x v="3"/>
  </r>
  <r>
    <x v="0"/>
  </r>
  <r>
    <x v="2"/>
  </r>
  <r>
    <x v="1"/>
  </r>
  <r>
    <x v="0"/>
  </r>
  <r>
    <x v="3"/>
  </r>
  <r>
    <x v="0"/>
  </r>
  <r>
    <x v="2"/>
  </r>
  <r>
    <x v="1"/>
  </r>
  <r>
    <x v="0"/>
  </r>
  <r>
    <x v="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r>
  <r>
    <x v="1"/>
  </r>
  <r>
    <x v="0"/>
  </r>
  <r>
    <x v="2"/>
  </r>
  <r>
    <x v="0"/>
  </r>
  <r>
    <x v="0"/>
  </r>
  <r>
    <x v="3"/>
  </r>
  <r>
    <x v="1"/>
  </r>
  <r>
    <x v="2"/>
  </r>
  <r>
    <x v="0"/>
  </r>
  <r>
    <x v="3"/>
  </r>
  <r>
    <x v="0"/>
  </r>
  <r>
    <x v="2"/>
  </r>
  <r>
    <x v="1"/>
  </r>
  <r>
    <x v="3"/>
  </r>
  <r>
    <x v="0"/>
  </r>
  <r>
    <x v="0"/>
  </r>
  <r>
    <x v="2"/>
  </r>
  <r>
    <x v="0"/>
  </r>
  <r>
    <x v="1"/>
  </r>
  <r>
    <x v="3"/>
  </r>
  <r>
    <x v="0"/>
  </r>
  <r>
    <x v="2"/>
  </r>
  <r>
    <x v="1"/>
  </r>
  <r>
    <x v="0"/>
  </r>
  <r>
    <x v="3"/>
  </r>
  <r>
    <x v="0"/>
  </r>
  <r>
    <x v="2"/>
  </r>
  <r>
    <x v="1"/>
  </r>
  <r>
    <x v="0"/>
  </r>
  <r>
    <x v="3"/>
  </r>
  <r>
    <x v="0"/>
  </r>
  <r>
    <x v="2"/>
  </r>
  <r>
    <x v="1"/>
  </r>
  <r>
    <x v="0"/>
  </r>
  <r>
    <x v="0"/>
  </r>
  <r>
    <x v="2"/>
  </r>
  <r>
    <x v="1"/>
  </r>
  <r>
    <x v="0"/>
  </r>
  <r>
    <x v="3"/>
  </r>
  <r>
    <x v="0"/>
  </r>
  <r>
    <x v="2"/>
  </r>
  <r>
    <x v="1"/>
  </r>
  <r>
    <x v="0"/>
  </r>
  <r>
    <x v="3"/>
  </r>
  <r>
    <x v="0"/>
  </r>
  <r>
    <x v="2"/>
  </r>
  <r>
    <x v="1"/>
  </r>
  <r>
    <x v="0"/>
  </r>
  <r>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s v="TRX-001"/>
    <x v="0"/>
    <s v="P-001"/>
    <x v="0"/>
    <x v="0"/>
    <x v="0"/>
    <n v="2"/>
    <n v="80000"/>
    <n v="150000"/>
    <x v="0"/>
    <n v="300000"/>
    <n v="160000"/>
    <n v="140000"/>
  </r>
  <r>
    <s v="TRX-002"/>
    <x v="0"/>
    <s v="P-002"/>
    <x v="1"/>
    <x v="0"/>
    <x v="1"/>
    <n v="1"/>
    <n v="150000"/>
    <n v="250000"/>
    <x v="1"/>
    <n v="250000"/>
    <n v="150000"/>
    <n v="100000"/>
  </r>
  <r>
    <s v="TRX-003"/>
    <x v="1"/>
    <s v="P-001"/>
    <x v="0"/>
    <x v="0"/>
    <x v="0"/>
    <n v="5"/>
    <n v="80000"/>
    <n v="150000"/>
    <x v="0"/>
    <n v="750000"/>
    <n v="400000"/>
    <n v="350000"/>
  </r>
  <r>
    <s v="TRX-004"/>
    <x v="1"/>
    <s v="P-003"/>
    <x v="2"/>
    <x v="1"/>
    <x v="2"/>
    <n v="1"/>
    <n v="300000"/>
    <n v="500000"/>
    <x v="2"/>
    <n v="500000"/>
    <n v="300000"/>
    <n v="200000"/>
  </r>
  <r>
    <s v="TRX-005"/>
    <x v="2"/>
    <s v="P-002"/>
    <x v="1"/>
    <x v="0"/>
    <x v="0"/>
    <n v="2"/>
    <n v="150000"/>
    <n v="250000"/>
    <x v="3"/>
    <n v="500000"/>
    <n v="300000"/>
    <n v="200000"/>
  </r>
  <r>
    <s v="TRX-006"/>
    <x v="2"/>
    <s v="P-002"/>
    <x v="1"/>
    <x v="0"/>
    <x v="0"/>
    <n v="2"/>
    <n v="150000"/>
    <n v="250000"/>
    <x v="3"/>
    <n v="500000"/>
    <n v="300000"/>
    <n v="200000"/>
  </r>
  <r>
    <s v="TRX-007"/>
    <x v="3"/>
    <s v="P-004"/>
    <x v="3"/>
    <x v="2"/>
    <x v="3"/>
    <n v="3"/>
    <n v="120000"/>
    <n v="150000"/>
    <x v="4"/>
    <n v="450000"/>
    <n v="360000"/>
    <n v="90000"/>
  </r>
  <r>
    <s v="TRX-008"/>
    <x v="3"/>
    <s v="P-001"/>
    <x v="0"/>
    <x v="0"/>
    <x v="1"/>
    <n v="1"/>
    <n v="80000"/>
    <n v="150000"/>
    <x v="5"/>
    <n v="150000"/>
    <n v="80000"/>
    <n v="70000"/>
  </r>
  <r>
    <s v="TRX-009"/>
    <x v="4"/>
    <s v="P-005"/>
    <x v="4"/>
    <x v="2"/>
    <x v="2"/>
    <n v="2"/>
    <n v="5000"/>
    <n v="25000"/>
    <x v="6"/>
    <n v="50000"/>
    <n v="10000"/>
    <n v="40000"/>
  </r>
  <r>
    <s v="TRX-010"/>
    <x v="4"/>
    <s v="P-003"/>
    <x v="2"/>
    <x v="1"/>
    <x v="0"/>
    <n v="1"/>
    <n v="300000"/>
    <n v="500000"/>
    <x v="7"/>
    <n v="500000"/>
    <n v="300000"/>
    <n v="200000"/>
  </r>
  <r>
    <s v="TRX-011"/>
    <x v="5"/>
    <s v="P-001"/>
    <x v="0"/>
    <x v="0"/>
    <x v="3"/>
    <n v="2"/>
    <n v="80000"/>
    <n v="150000"/>
    <x v="8"/>
    <n v="300000"/>
    <n v="160000"/>
    <n v="140000"/>
  </r>
  <r>
    <s v="TRX-012"/>
    <x v="5"/>
    <s v="P-002"/>
    <x v="1"/>
    <x v="0"/>
    <x v="0"/>
    <n v="1"/>
    <n v="150000"/>
    <n v="250000"/>
    <x v="9"/>
    <n v="250000"/>
    <n v="150000"/>
    <n v="100000"/>
  </r>
  <r>
    <s v="TRX-013"/>
    <x v="6"/>
    <s v="P-004"/>
    <x v="3"/>
    <x v="2"/>
    <x v="2"/>
    <n v="5"/>
    <n v="120000"/>
    <n v="120000"/>
    <x v="10"/>
    <n v="600000"/>
    <n v="600000"/>
    <n v="0"/>
  </r>
  <r>
    <s v="TRX-014"/>
    <x v="7"/>
    <s v="P-003"/>
    <x v="2"/>
    <x v="1"/>
    <x v="1"/>
    <n v="1"/>
    <n v="300000"/>
    <n v="150000"/>
    <x v="11"/>
    <n v="150000"/>
    <n v="300000"/>
    <n v="-150000"/>
  </r>
  <r>
    <s v="TRX-015"/>
    <x v="8"/>
    <s v="P-005"/>
    <x v="4"/>
    <x v="2"/>
    <x v="3"/>
    <n v="20"/>
    <n v="5000"/>
    <n v="10000"/>
    <x v="12"/>
    <n v="200000"/>
    <n v="100000"/>
    <n v="100000"/>
  </r>
  <r>
    <s v="TRX-016"/>
    <x v="9"/>
    <s v="P-001"/>
    <x v="0"/>
    <x v="0"/>
    <x v="0"/>
    <n v="3"/>
    <n v="80000"/>
    <n v="150000"/>
    <x v="13"/>
    <n v="450000"/>
    <n v="240000"/>
    <n v="210000"/>
  </r>
  <r>
    <s v="TRX-017"/>
    <x v="9"/>
    <s v="P-001"/>
    <x v="0"/>
    <x v="0"/>
    <x v="0"/>
    <n v="3"/>
    <n v="80000"/>
    <n v="150000"/>
    <x v="13"/>
    <n v="450000"/>
    <n v="240000"/>
    <n v="210000"/>
  </r>
  <r>
    <s v="TRX-018"/>
    <x v="10"/>
    <s v="P-002"/>
    <x v="1"/>
    <x v="0"/>
    <x v="2"/>
    <n v="2"/>
    <n v="150000"/>
    <n v="250000"/>
    <x v="14"/>
    <n v="500000"/>
    <n v="300000"/>
    <n v="200000"/>
  </r>
  <r>
    <s v="TRX-019"/>
    <x v="11"/>
    <s v="P-003"/>
    <x v="2"/>
    <x v="1"/>
    <x v="0"/>
    <n v="1"/>
    <n v="300000"/>
    <n v="500000"/>
    <x v="15"/>
    <n v="500000"/>
    <n v="300000"/>
    <n v="200000"/>
  </r>
  <r>
    <s v="TRX-020"/>
    <x v="12"/>
    <s v="P-004"/>
    <x v="3"/>
    <x v="2"/>
    <x v="1"/>
    <n v="4"/>
    <n v="120000"/>
    <n v="120000"/>
    <x v="16"/>
    <n v="480000"/>
    <n v="480000"/>
    <n v="0"/>
  </r>
  <r>
    <s v="TRX-021"/>
    <x v="13"/>
    <s v="P-001"/>
    <x v="0"/>
    <x v="0"/>
    <x v="3"/>
    <n v="1"/>
    <n v="80000"/>
    <n v="150000"/>
    <x v="17"/>
    <n v="150000"/>
    <n v="80000"/>
    <n v="70000"/>
  </r>
  <r>
    <s v="TRX-022"/>
    <x v="14"/>
    <s v="P-005"/>
    <x v="4"/>
    <x v="2"/>
    <x v="0"/>
    <n v="15"/>
    <n v="5000"/>
    <n v="10000"/>
    <x v="18"/>
    <n v="150000"/>
    <n v="75000"/>
    <n v="75000"/>
  </r>
  <r>
    <s v="TRX-023"/>
    <x v="15"/>
    <s v="P-002"/>
    <x v="1"/>
    <x v="0"/>
    <x v="2"/>
    <n v="1"/>
    <n v="150000"/>
    <n v="250000"/>
    <x v="19"/>
    <n v="250000"/>
    <n v="150000"/>
    <n v="100000"/>
  </r>
  <r>
    <s v="TRX-024"/>
    <x v="16"/>
    <s v="P-003"/>
    <x v="2"/>
    <x v="1"/>
    <x v="1"/>
    <n v="2"/>
    <n v="300000"/>
    <n v="500000"/>
    <x v="20"/>
    <n v="1000000"/>
    <n v="600000"/>
    <n v="400000"/>
  </r>
  <r>
    <s v="TRX-025"/>
    <x v="17"/>
    <s v="P-001"/>
    <x v="0"/>
    <x v="0"/>
    <x v="0"/>
    <n v="5"/>
    <n v="80000"/>
    <n v="150000"/>
    <x v="21"/>
    <n v="750000"/>
    <n v="400000"/>
    <n v="350000"/>
  </r>
  <r>
    <s v="TRX-026"/>
    <x v="18"/>
    <s v="P-004"/>
    <x v="3"/>
    <x v="2"/>
    <x v="3"/>
    <n v="2"/>
    <n v="120000"/>
    <n v="120000"/>
    <x v="22"/>
    <n v="240000"/>
    <n v="240000"/>
    <n v="0"/>
  </r>
  <r>
    <s v="TRX-027"/>
    <x v="19"/>
    <s v="P-002"/>
    <x v="1"/>
    <x v="0"/>
    <x v="0"/>
    <n v="1"/>
    <n v="150000"/>
    <n v="250000"/>
    <x v="23"/>
    <n v="250000"/>
    <n v="150000"/>
    <n v="100000"/>
  </r>
  <r>
    <s v="TRX-028"/>
    <x v="20"/>
    <s v="P-005"/>
    <x v="4"/>
    <x v="2"/>
    <x v="2"/>
    <n v="25"/>
    <n v="5000"/>
    <n v="150000"/>
    <x v="24"/>
    <n v="3750000"/>
    <n v="125000"/>
    <n v="3625000"/>
  </r>
  <r>
    <s v="TRX-029"/>
    <x v="21"/>
    <s v="P-003"/>
    <x v="2"/>
    <x v="1"/>
    <x v="1"/>
    <n v="1"/>
    <n v="300000"/>
    <n v="500000"/>
    <x v="25"/>
    <n v="500000"/>
    <n v="300000"/>
    <n v="200000"/>
  </r>
  <r>
    <s v="TRX-030"/>
    <x v="22"/>
    <s v="P-001"/>
    <x v="0"/>
    <x v="0"/>
    <x v="0"/>
    <n v="2"/>
    <n v="80000"/>
    <n v="150000"/>
    <x v="26"/>
    <n v="300000"/>
    <n v="160000"/>
    <n v="140000"/>
  </r>
  <r>
    <s v="TRX-031"/>
    <x v="23"/>
    <s v="P-002"/>
    <x v="1"/>
    <x v="0"/>
    <x v="3"/>
    <n v="3"/>
    <n v="150000"/>
    <n v="250000"/>
    <x v="27"/>
    <n v="750000"/>
    <n v="450000"/>
    <n v="300000"/>
  </r>
  <r>
    <s v="TRX-032"/>
    <x v="24"/>
    <s v="P-004"/>
    <x v="3"/>
    <x v="2"/>
    <x v="0"/>
    <n v="1"/>
    <n v="120000"/>
    <n v="120000"/>
    <x v="28"/>
    <n v="120000"/>
    <n v="120000"/>
    <n v="0"/>
  </r>
  <r>
    <s v="TRX-033"/>
    <x v="25"/>
    <s v="P-001"/>
    <x v="0"/>
    <x v="0"/>
    <x v="2"/>
    <n v="4"/>
    <n v="80000"/>
    <n v="150000"/>
    <x v="29"/>
    <n v="600000"/>
    <n v="320000"/>
    <n v="280000"/>
  </r>
  <r>
    <s v="TRX-034"/>
    <x v="26"/>
    <s v="P-005"/>
    <x v="4"/>
    <x v="2"/>
    <x v="1"/>
    <n v="30"/>
    <n v="5000"/>
    <n v="10000"/>
    <x v="30"/>
    <n v="300000"/>
    <n v="150000"/>
    <n v="150000"/>
  </r>
  <r>
    <s v="TRX-035"/>
    <x v="27"/>
    <s v="P-003"/>
    <x v="2"/>
    <x v="1"/>
    <x v="0"/>
    <n v="1"/>
    <n v="300000"/>
    <n v="500000"/>
    <x v="31"/>
    <n v="500000"/>
    <n v="300000"/>
    <n v="200000"/>
  </r>
  <r>
    <s v="TRX-036"/>
    <x v="28"/>
    <s v="P-001"/>
    <x v="0"/>
    <x v="0"/>
    <x v="0"/>
    <n v="6"/>
    <n v="80000"/>
    <n v="150000"/>
    <x v="7"/>
    <n v="900000"/>
    <n v="480000"/>
    <n v="420000"/>
  </r>
  <r>
    <s v="TRX-038"/>
    <x v="29"/>
    <s v="P-004"/>
    <x v="3"/>
    <x v="2"/>
    <x v="2"/>
    <n v="2"/>
    <n v="120000"/>
    <n v="120000"/>
    <x v="32"/>
    <n v="240000"/>
    <n v="240000"/>
    <n v="0"/>
  </r>
  <r>
    <s v="TRX-039"/>
    <x v="30"/>
    <s v="P-005"/>
    <x v="4"/>
    <x v="2"/>
    <x v="1"/>
    <n v="10"/>
    <n v="5000"/>
    <n v="10000"/>
    <x v="33"/>
    <n v="100000"/>
    <n v="50000"/>
    <n v="50000"/>
  </r>
  <r>
    <s v="TRX-040"/>
    <x v="31"/>
    <s v="P-003"/>
    <x v="2"/>
    <x v="1"/>
    <x v="0"/>
    <n v="1"/>
    <n v="300000"/>
    <n v="500000"/>
    <x v="34"/>
    <n v="500000"/>
    <n v="300000"/>
    <n v="200000"/>
  </r>
  <r>
    <s v="TRX-041"/>
    <x v="32"/>
    <s v="P-002"/>
    <x v="1"/>
    <x v="0"/>
    <x v="3"/>
    <n v="1"/>
    <n v="150000"/>
    <n v="250000"/>
    <x v="35"/>
    <n v="250000"/>
    <n v="150000"/>
    <n v="100000"/>
  </r>
  <r>
    <s v="TRX-042"/>
    <x v="33"/>
    <s v="P-001"/>
    <x v="0"/>
    <x v="0"/>
    <x v="0"/>
    <n v="3"/>
    <n v="80000"/>
    <n v="150000"/>
    <x v="36"/>
    <n v="450000"/>
    <n v="240000"/>
    <n v="210000"/>
  </r>
  <r>
    <s v="TRX-043"/>
    <x v="34"/>
    <s v="P-004"/>
    <x v="3"/>
    <x v="2"/>
    <x v="2"/>
    <n v="5"/>
    <n v="120000"/>
    <n v="120000"/>
    <x v="37"/>
    <n v="600000"/>
    <n v="600000"/>
    <n v="0"/>
  </r>
  <r>
    <s v="TRX-044"/>
    <x v="35"/>
    <s v="P-005"/>
    <x v="4"/>
    <x v="2"/>
    <x v="1"/>
    <n v="20"/>
    <n v="5000"/>
    <n v="150000"/>
    <x v="38"/>
    <n v="3000000"/>
    <n v="100000"/>
    <n v="2900000"/>
  </r>
  <r>
    <s v="TRX-045"/>
    <x v="36"/>
    <s v="P-003"/>
    <x v="2"/>
    <x v="1"/>
    <x v="0"/>
    <n v="2"/>
    <n v="300000"/>
    <n v="500000"/>
    <x v="8"/>
    <n v="1000000"/>
    <n v="600000"/>
    <n v="400000"/>
  </r>
  <r>
    <s v="TRX-046"/>
    <x v="37"/>
    <s v="P-002"/>
    <x v="1"/>
    <x v="0"/>
    <x v="3"/>
    <n v="2"/>
    <n v="150000"/>
    <n v="250000"/>
    <x v="39"/>
    <n v="500000"/>
    <n v="300000"/>
    <n v="200000"/>
  </r>
  <r>
    <s v="TRX-047"/>
    <x v="38"/>
    <s v="P-001"/>
    <x v="0"/>
    <x v="0"/>
    <x v="0"/>
    <n v="4"/>
    <n v="80000"/>
    <n v="150000"/>
    <x v="8"/>
    <n v="600000"/>
    <n v="320000"/>
    <n v="280000"/>
  </r>
  <r>
    <s v="TRX-048"/>
    <x v="39"/>
    <s v="P-004"/>
    <x v="3"/>
    <x v="2"/>
    <x v="2"/>
    <n v="1"/>
    <n v="120000"/>
    <n v="120000"/>
    <x v="40"/>
    <n v="120000"/>
    <n v="120000"/>
    <n v="0"/>
  </r>
  <r>
    <s v="TRX-049"/>
    <x v="40"/>
    <s v="P-005"/>
    <x v="4"/>
    <x v="2"/>
    <x v="1"/>
    <n v="15"/>
    <n v="5000"/>
    <n v="10000"/>
    <x v="41"/>
    <n v="150000"/>
    <n v="75000"/>
    <n v="75000"/>
  </r>
  <r>
    <s v="TRX-050"/>
    <x v="41"/>
    <s v="P-003"/>
    <x v="2"/>
    <x v="1"/>
    <x v="0"/>
    <n v="1"/>
    <n v="300000"/>
    <n v="500000"/>
    <x v="42"/>
    <n v="500000"/>
    <n v="300000"/>
    <n v="2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56F77F-2E96-497A-87E3-3DA87ABE0FF7}"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J11" firstHeaderRow="1" firstDataRow="1" firstDataCol="1"/>
  <pivotFields count="1">
    <pivotField axis="axisRow" showAll="0">
      <items count="10">
        <item x="7"/>
        <item x="5"/>
        <item x="1"/>
        <item x="4"/>
        <item x="0"/>
        <item x="6"/>
        <item x="3"/>
        <item x="2"/>
        <item x="8"/>
        <item t="default"/>
      </items>
    </pivotField>
  </pivotFields>
  <rowFields count="1">
    <field x="0"/>
  </rowFields>
  <rowItems count="10">
    <i>
      <x/>
    </i>
    <i>
      <x v="1"/>
    </i>
    <i>
      <x v="2"/>
    </i>
    <i>
      <x v="3"/>
    </i>
    <i>
      <x v="4"/>
    </i>
    <i>
      <x v="5"/>
    </i>
    <i>
      <x v="6"/>
    </i>
    <i>
      <x v="7"/>
    </i>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C620D2-658E-4DF8-AAB4-36D0727F3673}"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J7" firstHeaderRow="1" firstDataRow="1" firstDataCol="1"/>
  <pivotFields count="1">
    <pivotField axis="axisRow" showAll="0">
      <items count="6">
        <item x="1"/>
        <item x="0"/>
        <item x="3"/>
        <item x="2"/>
        <item x="4"/>
        <item t="default"/>
      </items>
    </pivotField>
  </pivotFields>
  <rowFields count="1">
    <field x="0"/>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96D059-D123-42DF-AFFA-07A2DDE07F5A}" name="PivotTable1"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60:B71" firstHeaderRow="1" firstDataRow="1" firstDataCol="1"/>
  <pivotFields count="15">
    <pivotField showAll="0"/>
    <pivotField numFmtId="14" showAll="0"/>
    <pivotField showAll="0"/>
    <pivotField showAll="0"/>
    <pivotField showAll="0"/>
    <pivotField showAll="0"/>
    <pivotField showAll="0"/>
    <pivotField showAll="0"/>
    <pivotField showAll="0"/>
    <pivotField axis="axisRow" showAll="0" measureFilter="1" sortType="ascending">
      <items count="44">
        <item x="27"/>
        <item x="2"/>
        <item x="0"/>
        <item x="28"/>
        <item x="29"/>
        <item x="3"/>
        <item x="4"/>
        <item x="30"/>
        <item x="31"/>
        <item x="5"/>
        <item x="6"/>
        <item x="7"/>
        <item x="32"/>
        <item x="9"/>
        <item x="33"/>
        <item x="10"/>
        <item x="34"/>
        <item x="11"/>
        <item x="35"/>
        <item x="36"/>
        <item x="12"/>
        <item x="13"/>
        <item x="37"/>
        <item x="8"/>
        <item x="38"/>
        <item x="14"/>
        <item x="15"/>
        <item x="39"/>
        <item x="16"/>
        <item x="17"/>
        <item x="40"/>
        <item x="18"/>
        <item x="1"/>
        <item x="41"/>
        <item x="19"/>
        <item x="20"/>
        <item x="42"/>
        <item x="21"/>
        <item x="22"/>
        <item x="23"/>
        <item x="24"/>
        <item x="25"/>
        <item x="26"/>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dragToRow="0" dragToCol="0" dragToPage="0" showAll="0" defaultSubtotal="0"/>
    <pivotField showAll="0" defaultSubtotal="0"/>
  </pivotFields>
  <rowFields count="1">
    <field x="9"/>
  </rowFields>
  <rowItems count="11">
    <i>
      <x v="37"/>
    </i>
    <i>
      <x/>
    </i>
    <i>
      <x v="21"/>
    </i>
    <i>
      <x v="5"/>
    </i>
    <i>
      <x v="35"/>
    </i>
    <i>
      <x v="2"/>
    </i>
    <i>
      <x v="11"/>
    </i>
    <i>
      <x v="23"/>
    </i>
    <i>
      <x v="24"/>
    </i>
    <i>
      <x v="40"/>
    </i>
    <i t="grand">
      <x/>
    </i>
  </rowItems>
  <colItems count="1">
    <i/>
  </colItems>
  <dataFields count="1">
    <dataField name="Sum of Total_Omzet" fld="10" baseField="0" baseItem="0" numFmtId="42"/>
  </dataFields>
  <formats count="1">
    <format dxfId="3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9CB3DE-C748-44D5-88A2-FB2A49A02773}" name="PivotTable16"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9" firstHeaderRow="0" firstDataRow="1" firstDataCol="1"/>
  <pivotFields count="15">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6">
        <item x="1"/>
        <item x="4"/>
        <item x="0"/>
        <item x="2"/>
        <item x="3"/>
        <item t="default"/>
      </items>
    </pivotField>
    <pivotField showAll="0">
      <items count="4">
        <item x="2"/>
        <item x="0"/>
        <item x="1"/>
        <item t="default"/>
      </items>
    </pivotField>
    <pivotField showAll="0">
      <items count="5">
        <item x="1"/>
        <item x="0"/>
        <item x="3"/>
        <item x="2"/>
        <item t="default"/>
      </items>
    </pivotField>
    <pivotField showAll="0"/>
    <pivotField showAll="0"/>
    <pivotField showAll="0"/>
    <pivotField showAll="0"/>
    <pivotField dataField="1" numFmtId="164" showAll="0"/>
    <pivotField numFmtId="164" showAll="0"/>
    <pivotField dataField="1" numFmtId="164"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s>
  <rowFields count="1">
    <field x="3"/>
  </rowFields>
  <rowItems count="6">
    <i>
      <x/>
    </i>
    <i>
      <x v="1"/>
    </i>
    <i>
      <x v="2"/>
    </i>
    <i>
      <x v="3"/>
    </i>
    <i>
      <x v="4"/>
    </i>
    <i t="grand">
      <x/>
    </i>
  </rowItems>
  <colFields count="1">
    <field x="-2"/>
  </colFields>
  <colItems count="3">
    <i>
      <x/>
    </i>
    <i i="1">
      <x v="1"/>
    </i>
    <i i="2">
      <x v="2"/>
    </i>
  </colItems>
  <dataFields count="3">
    <dataField name="Sum of Total_Omzet" fld="10" baseField="0" baseItem="0" numFmtId="42"/>
    <dataField name="Sum of Total_Profit" fld="12" baseField="0" baseItem="0" numFmtId="42"/>
    <dataField name="Sum of % Margin" fld="13" baseField="0" baseItem="0" numFmtId="164"/>
  </dataFields>
  <formats count="3">
    <format dxfId="35">
      <pivotArea collapsedLevelsAreSubtotals="1" fieldPosition="0">
        <references count="2">
          <reference field="4294967294" count="1" selected="0">
            <x v="2"/>
          </reference>
          <reference field="3" count="0"/>
        </references>
      </pivotArea>
    </format>
    <format dxfId="34">
      <pivotArea field="3" grandRow="1" outline="0" collapsedLevelsAreSubtotals="1" axis="axisRow" fieldPosition="0">
        <references count="1">
          <reference field="4294967294" count="1" selected="0">
            <x v="2"/>
          </reference>
        </references>
      </pivotArea>
    </format>
    <format dxfId="33">
      <pivotArea outline="0" collapsedLevelsAreSubtotals="1" fieldPosition="0">
        <references count="1">
          <reference field="4294967294" count="2" selected="0">
            <x v="0"/>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190EF9-A7F3-43E0-9C57-D594AAA7F9CD}" name="PivotTable17"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2:B57" firstHeaderRow="1" firstDataRow="1" firstDataCol="1"/>
  <pivotFields count="15">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dataField="1" numFmtId="164" showAll="0"/>
    <pivotField numFmtId="164" showAll="0"/>
    <pivotField numFmtId="164" showAll="0"/>
    <pivotField dragToRow="0" dragToCol="0" dragToPage="0" showAll="0" defaultSubtotal="0"/>
    <pivotField axis="axisRow" showAll="0">
      <items count="15">
        <item sd="0" x="0"/>
        <item x="1"/>
        <item x="2"/>
        <item sd="0" x="3"/>
        <item sd="0" x="4"/>
        <item sd="0" x="5"/>
        <item sd="0" x="6"/>
        <item sd="0" x="7"/>
        <item sd="0" x="8"/>
        <item sd="0" x="9"/>
        <item sd="0" x="10"/>
        <item sd="0" x="11"/>
        <item sd="0" x="12"/>
        <item sd="0" x="13"/>
        <item t="default"/>
      </items>
    </pivotField>
  </pivotFields>
  <rowFields count="2">
    <field x="14"/>
    <field x="1"/>
  </rowFields>
  <rowItems count="45">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1"/>
    </i>
    <i>
      <x v="2"/>
    </i>
    <i r="1">
      <x v="32"/>
    </i>
    <i r="1">
      <x v="33"/>
    </i>
    <i r="1">
      <x v="34"/>
    </i>
    <i r="1">
      <x v="35"/>
    </i>
    <i r="1">
      <x v="36"/>
    </i>
    <i r="1">
      <x v="37"/>
    </i>
    <i r="1">
      <x v="38"/>
    </i>
    <i r="1">
      <x v="39"/>
    </i>
    <i r="1">
      <x v="40"/>
    </i>
    <i r="1">
      <x v="41"/>
    </i>
    <i r="1">
      <x v="42"/>
    </i>
    <i r="1">
      <x v="43"/>
    </i>
    <i t="grand">
      <x/>
    </i>
  </rowItems>
  <colItems count="1">
    <i/>
  </colItems>
  <dataFields count="1">
    <dataField name="Sum of Total_Omzet" fld="10" baseField="0" baseItem="0" numFmtId="42"/>
  </dataFields>
  <formats count="1">
    <format dxfId="3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B8C220-0BE1-42E0-A218-7D8D66E02262}" autoFormatId="16" applyNumberFormats="0" applyBorderFormats="0" applyFontFormats="0" applyPatternFormats="0" applyAlignmentFormats="0" applyWidthHeightFormats="0">
  <queryTableRefresh nextId="8">
    <queryTableFields count="7">
      <queryTableField id="1" name="ID_Transaksi" tableColumnId="1"/>
      <queryTableField id="2" name="Tanggal" tableColumnId="2"/>
      <queryTableField id="3" name="Kode_Produk" tableColumnId="3"/>
      <queryTableField id="4" name="Cabang" tableColumnId="4"/>
      <queryTableField id="5" name="Jumlah_Beli" tableColumnId="5"/>
      <queryTableField id="6" name="Harga_Satuan" tableColumnId="6"/>
      <queryTableField id="7" name="Nama_Pelanggan"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88EDD50-B0E7-45C1-B44F-3D3FE4AA3060}" autoFormatId="16" applyNumberFormats="0" applyBorderFormats="0" applyFontFormats="0" applyPatternFormats="0" applyAlignmentFormats="0" applyWidthHeightFormats="0">
  <queryTableRefresh nextId="8">
    <queryTableFields count="7">
      <queryTableField id="1" name="ID_Transaksi" tableColumnId="1"/>
      <queryTableField id="2" name="Tanggal" tableColumnId="2"/>
      <queryTableField id="3" name="Kode_Produk" tableColumnId="3"/>
      <queryTableField id="4" name="Cabang" tableColumnId="4"/>
      <queryTableField id="5" name="Jumlah_Beli" tableColumnId="5"/>
      <queryTableField id="6" name="Harga_Satuan" tableColumnId="6"/>
      <queryTableField id="7" name="Nama_Pelangga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4" xr16:uid="{484ADE45-C695-44F1-AD2C-24C5AE319633}" autoFormatId="16" applyNumberFormats="0" applyBorderFormats="0" applyFontFormats="0" applyPatternFormats="0" applyAlignmentFormats="0" applyWidthHeightFormats="0">
  <queryTableRefresh nextId="9">
    <queryTableFields count="7">
      <queryTableField id="1" name="ID_Transaksi" tableColumnId="1"/>
      <queryTableField id="2" name="Tanggal" tableColumnId="2"/>
      <queryTableField id="3" name="Kode_Produk" tableColumnId="3"/>
      <queryTableField id="4" name="Cabang" tableColumnId="4"/>
      <queryTableField id="5" name="Jumlah_Beli" tableColumnId="5"/>
      <queryTableField id="6" name="Harga_Satuan" tableColumnId="6"/>
      <queryTableField id="7" name="Nama_Pelanggan"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371BC48E-E449-4039-8009-3F62899ADC36}" autoFormatId="16" applyNumberFormats="0" applyBorderFormats="0" applyFontFormats="0" applyPatternFormats="0" applyAlignmentFormats="0" applyWidthHeightFormats="0">
  <queryTableRefresh nextId="12">
    <queryTableFields count="10">
      <queryTableField id="1" name="ID_Transaksi" tableColumnId="1"/>
      <queryTableField id="2" name="Tanggal" tableColumnId="2"/>
      <queryTableField id="3" name="Kode_Produk" tableColumnId="3"/>
      <queryTableField id="9" dataBound="0" tableColumnId="9"/>
      <queryTableField id="10" dataBound="0" tableColumnId="11"/>
      <queryTableField id="4" name="Cabang" tableColumnId="4"/>
      <queryTableField id="5" name="Jumlah_Beli" tableColumnId="5"/>
      <queryTableField id="11" dataBound="0" tableColumnId="12"/>
      <queryTableField id="6" name="Harga_Satuan" tableColumnId="6"/>
      <queryTableField id="7" name="Nama_Pelanggan"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7" xr16:uid="{CCFD5A53-274E-4509-847D-C7ED8E7B3472}" autoFormatId="16" applyNumberFormats="0" applyBorderFormats="0" applyFontFormats="0" applyPatternFormats="0" applyAlignmentFormats="0" applyWidthHeightFormats="0">
  <queryTableRefresh nextId="5">
    <queryTableFields count="4">
      <queryTableField id="1" name="Kode_Produk" tableColumnId="1"/>
      <queryTableField id="2" name="Nama_Produk" tableColumnId="2"/>
      <queryTableField id="3" name="Kategori" tableColumnId="3"/>
      <queryTableField id="4" name="Modal"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BBFABF98-E2ED-48A3-B40F-F166DF9A0B1C}" autoFormatId="16" applyNumberFormats="0" applyBorderFormats="0" applyFontFormats="0" applyPatternFormats="0" applyAlignmentFormats="0" applyWidthHeightFormats="0">
  <queryTableRefresh nextId="15" unboundColumnsRight="3">
    <queryTableFields count="13">
      <queryTableField id="1" name="ID_Transaksi" tableColumnId="1"/>
      <queryTableField id="2" name="Tanggal" tableColumnId="2"/>
      <queryTableField id="3" name="Kode_Produk" tableColumnId="3"/>
      <queryTableField id="9" dataBound="0" tableColumnId="9"/>
      <queryTableField id="10" dataBound="0" tableColumnId="11"/>
      <queryTableField id="4" name="Cabang" tableColumnId="4"/>
      <queryTableField id="5" name="Jumlah_Beli" tableColumnId="5"/>
      <queryTableField id="11" dataBound="0" tableColumnId="12"/>
      <queryTableField id="6" name="Harga_Satuan" tableColumnId="6"/>
      <queryTableField id="7" name="Nama_Pelanggan" tableColumnId="7"/>
      <queryTableField id="12" dataBound="0" tableColumnId="13"/>
      <queryTableField id="13" dataBound="0" tableColumnId="14"/>
      <queryTableField id="14" dataBound="0" tableColumnId="1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8" xr16:uid="{B79D024D-7B3A-4ADE-9E7B-F36BB5EEFEFC}" autoFormatId="16" applyNumberFormats="0" applyBorderFormats="0" applyFontFormats="0" applyPatternFormats="0" applyAlignmentFormats="0" applyWidthHeightFormats="0">
  <queryTableRefresh nextId="5">
    <queryTableFields count="4">
      <queryTableField id="1" name="Kode_Produk" tableColumnId="1"/>
      <queryTableField id="2" name="Nama_Produk" tableColumnId="2"/>
      <queryTableField id="3" name="Kategori" tableColumnId="3"/>
      <queryTableField id="4" name="Modal"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1BF925F9-1ABD-4F42-BCB1-86D6F9BB0E42}" sourceName="Kategori">
  <pivotTables>
    <pivotTable tabId="8" name="PivotTable16"/>
  </pivotTables>
  <data>
    <tabular pivotCacheId="143123719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bang" xr10:uid="{EA233F7A-CF02-4562-9581-380D0C1202C9}" sourceName="Cabang">
  <pivotTables>
    <pivotTable tabId="8" name="PivotTable16"/>
  </pivotTables>
  <data>
    <tabular pivotCacheId="1431237191">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 xr10:uid="{477E5688-1E06-453B-B242-1DB0B999A646}" cache="Slicer_Kategori" caption="Kategori" rowHeight="241300"/>
  <slicer name="Cabang" xr10:uid="{719B468A-A3F2-41FE-A30A-4C539C36FCE9}" cache="Slicer_Cabang" caption="Cabang"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FE1E9F-AE81-4A09-8512-BA531177E494}" name="Data_Transaksi" displayName="Data_Transaksi" ref="A1:G51" tableType="queryTable" totalsRowShown="0">
  <autoFilter ref="A1:G51" xr:uid="{77FE1E9F-AE81-4A09-8512-BA531177E494}"/>
  <tableColumns count="7">
    <tableColumn id="1" xr3:uid="{ACFF838D-DF06-4BE3-9B5D-CA0744751E58}" uniqueName="1" name="ID_Transaksi" queryTableFieldId="1" dataDxfId="86"/>
    <tableColumn id="2" xr3:uid="{CC784DD7-48B8-470C-A74D-EEC898B6F8E9}" uniqueName="2" name="Tanggal" queryTableFieldId="2" dataDxfId="85"/>
    <tableColumn id="3" xr3:uid="{1CA1BFFA-C425-40DD-BAE8-7A344F9A878E}" uniqueName="3" name="Kode_Produk" queryTableFieldId="3" dataDxfId="84"/>
    <tableColumn id="4" xr3:uid="{A2567079-8E77-4B74-AFF2-F385EAAB0FDC}" uniqueName="4" name="Cabang" queryTableFieldId="4" dataDxfId="83"/>
    <tableColumn id="5" xr3:uid="{A7F409AF-2851-43AF-B792-45D54314D108}" uniqueName="5" name="Jumlah_Beli" queryTableFieldId="5"/>
    <tableColumn id="6" xr3:uid="{6A2903C3-804E-49AF-9109-785AA1DAD320}" uniqueName="6" name="Harga_Satuan" queryTableFieldId="6"/>
    <tableColumn id="7" xr3:uid="{AD9963B3-2467-46EC-8A49-739368D78018}" uniqueName="7" name="Nama_Pelanggan" queryTableFieldId="7" dataDxfId="8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CDBFDF-0FD4-44A6-B3A6-3C4461F0F213}" name="Data_Transaksi3" displayName="Data_Transaksi3" ref="A1:G51" tableType="queryTable" totalsRowShown="0">
  <autoFilter ref="A1:G51" xr:uid="{77FE1E9F-AE81-4A09-8512-BA531177E494}"/>
  <tableColumns count="7">
    <tableColumn id="1" xr3:uid="{1348FACE-2473-468D-8AEC-D677A33B03BE}" uniqueName="1" name="ID_Transaksi" queryTableFieldId="1" dataDxfId="78"/>
    <tableColumn id="2" xr3:uid="{14482194-18F7-456B-8580-EC035B4E79DB}" uniqueName="2" name="Tanggal" queryTableFieldId="2" dataDxfId="77"/>
    <tableColumn id="3" xr3:uid="{E5F12E04-F68C-4DD1-B21F-562E0808FCF7}" uniqueName="3" name="Kode_Produk" queryTableFieldId="3" dataDxfId="76"/>
    <tableColumn id="4" xr3:uid="{D24400E8-A269-4ABF-B3C4-90919FBC39F9}" uniqueName="4" name="Cabang" queryTableFieldId="4" dataDxfId="75"/>
    <tableColumn id="5" xr3:uid="{43F40392-514D-4C9F-91B6-67841AF96AEB}" uniqueName="5" name="Jumlah_Beli" queryTableFieldId="5"/>
    <tableColumn id="6" xr3:uid="{76C397F5-A7C0-464F-A8BC-2CB7D9C95586}" uniqueName="6" name="Harga_Satuan" queryTableFieldId="6"/>
    <tableColumn id="7" xr3:uid="{2AA96242-8230-4BB5-86DA-472BBD31052F}" uniqueName="7" name="Nama_Pelanggan" queryTableFieldId="7" dataDxfId="7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9F3FB9-E42D-41A5-8ED1-8EDB2BBB6AAE}" name="Data_Transaksi35" displayName="Data_Transaksi35" ref="A1:G50" tableType="queryTable" totalsRowShown="0">
  <autoFilter ref="A1:G50" xr:uid="{77FE1E9F-AE81-4A09-8512-BA531177E494}"/>
  <tableColumns count="7">
    <tableColumn id="1" xr3:uid="{23C2B679-7D88-4AE8-8AEE-FC843CF500CF}" uniqueName="1" name="ID_Transaksi" queryTableFieldId="1" dataDxfId="70"/>
    <tableColumn id="2" xr3:uid="{BD478390-54C8-452A-AD46-E9747FD8A0F8}" uniqueName="2" name="Tanggal" queryTableFieldId="2" dataDxfId="69"/>
    <tableColumn id="3" xr3:uid="{8BE26A87-EA5A-487B-A5EB-C42B37516A68}" uniqueName="3" name="Kode_Produk" queryTableFieldId="3" dataDxfId="68"/>
    <tableColumn id="4" xr3:uid="{D8D3F36C-B2B8-4486-B173-058F92814292}" uniqueName="4" name="Cabang" queryTableFieldId="4" dataDxfId="67"/>
    <tableColumn id="5" xr3:uid="{AC03EE7C-6C1B-4FF2-8248-B8A59221C8D2}" uniqueName="5" name="Jumlah_Beli" queryTableFieldId="5"/>
    <tableColumn id="6" xr3:uid="{DFD3EE5B-DF93-4BEC-9E6D-B859E861C6A8}" uniqueName="6" name="Harga_Satuan" queryTableFieldId="6"/>
    <tableColumn id="7" xr3:uid="{F8AC598E-C005-4C00-895F-37DF9E6E8A2E}" uniqueName="7" name="Nama_Pelanggan" queryTableFieldId="7" dataDxfId="6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0D5BA5-7EDC-4AC8-9C12-125F04C08AC7}" name="Data_Transaksi356" displayName="Data_Transaksi356" ref="A1:J50" tableType="queryTable" totalsRowShown="0">
  <autoFilter ref="A1:J50" xr:uid="{77FE1E9F-AE81-4A09-8512-BA531177E494}"/>
  <tableColumns count="10">
    <tableColumn id="1" xr3:uid="{15AD0F6D-D02A-4CE3-A560-7E2E1DD89486}" uniqueName="1" name="ID_Transaksi" queryTableFieldId="1" dataDxfId="63"/>
    <tableColumn id="2" xr3:uid="{8B3C49DB-EB24-496E-A426-FC6AB7ADB205}" uniqueName="2" name="Tanggal" queryTableFieldId="2" dataDxfId="62"/>
    <tableColumn id="3" xr3:uid="{CD20BCA3-787C-4433-BE21-1F7E3DA5EFF2}" uniqueName="3" name="Kode_Produk" queryTableFieldId="3" dataDxfId="61"/>
    <tableColumn id="9" xr3:uid="{117EF45F-8EED-4BEF-AE4F-81B910520CE7}" uniqueName="9" name="Nama Produk" queryTableFieldId="9" dataDxfId="60">
      <calculatedColumnFormula>VLOOKUP(Data_Transaksi356[[#This Row],[Kode_Produk]],Master_Produk[#All],2)</calculatedColumnFormula>
    </tableColumn>
    <tableColumn id="11" xr3:uid="{606CF9E2-6882-46BC-9322-7D3903842AF6}" uniqueName="11" name="Kategori" queryTableFieldId="10" dataDxfId="59">
      <calculatedColumnFormula>VLOOKUP(Data_Transaksi356[[#This Row],[Kode_Produk]],Master_Produk[#All],3)</calculatedColumnFormula>
    </tableColumn>
    <tableColumn id="4" xr3:uid="{6FE8ADAB-4211-4286-996A-30008A5E9D55}" uniqueName="4" name="Cabang" queryTableFieldId="4" dataDxfId="58"/>
    <tableColumn id="5" xr3:uid="{566D2CBE-CA58-4A90-A94A-74D686A59E43}" uniqueName="5" name="Jumlah_Beli" queryTableFieldId="5"/>
    <tableColumn id="12" xr3:uid="{7470C116-1311-45AC-BFE2-87D671D2B139}" uniqueName="12" name="Harga Modal" queryTableFieldId="11" dataDxfId="57">
      <calculatedColumnFormula>VLOOKUP(Data_Transaksi356[[#This Row],[Kode_Produk]],Master_Produk[#All],4)</calculatedColumnFormula>
    </tableColumn>
    <tableColumn id="6" xr3:uid="{1F43DF5F-7151-47E3-8AE2-C84CA4BBA3C1}" uniqueName="6" name="Harga_Satuan" queryTableFieldId="6"/>
    <tableColumn id="7" xr3:uid="{C0B2BA3D-FF04-4811-805A-3597393C6A59}" uniqueName="7" name="Nama_Pelanggan" queryTableFieldId="7" dataDxfId="5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F94E9DC-5A50-48DA-8038-6FC12BFD00F9}" name="Master_Produk" displayName="Master_Produk" ref="P1:S6" tableType="queryTable" totalsRowShown="0">
  <autoFilter ref="P1:S6" xr:uid="{EF94E9DC-5A50-48DA-8038-6FC12BFD00F9}"/>
  <tableColumns count="4">
    <tableColumn id="1" xr3:uid="{75E19278-D8A3-409C-B0F4-F12319380EEC}" uniqueName="1" name="Kode_Produk" queryTableFieldId="1" dataDxfId="55"/>
    <tableColumn id="2" xr3:uid="{6A7E7EC7-13F5-427B-AED5-3F498D614D21}" uniqueName="2" name="Nama_Produk" queryTableFieldId="2" dataDxfId="54"/>
    <tableColumn id="3" xr3:uid="{D8ED4E24-75BA-4EDA-8150-6E26FE48B55A}" uniqueName="3" name="Kategori" queryTableFieldId="3" dataDxfId="53"/>
    <tableColumn id="4" xr3:uid="{8D7D6B84-F12C-4C1C-8E86-EE5E89009F7F}" uniqueName="4" name="Modal" queryTableField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428932-C1B3-4E96-83F7-5916C4BE62B1}" name="Data_Transaksi3568" displayName="Data_Transaksi3568" ref="A1:M50" tableType="queryTable" totalsRowShown="0">
  <autoFilter ref="A1:M50" xr:uid="{77FE1E9F-AE81-4A09-8512-BA531177E494}"/>
  <tableColumns count="13">
    <tableColumn id="1" xr3:uid="{E78688B7-736B-4930-AF40-E1F265F88ADA}" uniqueName="1" name="ID_Transaksi" queryTableFieldId="1" dataDxfId="50"/>
    <tableColumn id="2" xr3:uid="{9678DB7F-E4CD-4670-B4AD-8E3A289892DF}" uniqueName="2" name="Tanggal" queryTableFieldId="2" dataDxfId="49"/>
    <tableColumn id="3" xr3:uid="{E7349BC1-426B-4C66-B997-BA8DCFBB7900}" uniqueName="3" name="Kode_Produk" queryTableFieldId="3" dataDxfId="48"/>
    <tableColumn id="9" xr3:uid="{A687902E-53C1-47C9-B622-6440DB57FE0D}" uniqueName="9" name="Nama Produk" queryTableFieldId="9" dataDxfId="47">
      <calculatedColumnFormula>VLOOKUP(Data_Transaksi3568[[#This Row],[Kode_Produk]],Master_Produk9[#All],2)</calculatedColumnFormula>
    </tableColumn>
    <tableColumn id="11" xr3:uid="{4A7E230C-E58F-4613-9FCB-3BDC28CA3A8A}" uniqueName="11" name="Kategori" queryTableFieldId="10" dataDxfId="46">
      <calculatedColumnFormula>VLOOKUP(Data_Transaksi3568[[#This Row],[Kode_Produk]],Master_Produk9[#All],3)</calculatedColumnFormula>
    </tableColumn>
    <tableColumn id="4" xr3:uid="{49E93260-FB52-42A8-BE38-64C4DFE3FE19}" uniqueName="4" name="Cabang" queryTableFieldId="4" dataDxfId="45"/>
    <tableColumn id="5" xr3:uid="{51633422-7BE2-43D9-AD1F-322A438629FF}" uniqueName="5" name="Jumlah_Beli" queryTableFieldId="5"/>
    <tableColumn id="12" xr3:uid="{A3C1B630-FC10-48EB-9A04-513FBFD6D67F}" uniqueName="12" name="Harga Modal" queryTableFieldId="11" dataDxfId="44">
      <calculatedColumnFormula>VLOOKUP(Data_Transaksi3568[[#This Row],[Kode_Produk]],Master_Produk9[#All],4)</calculatedColumnFormula>
    </tableColumn>
    <tableColumn id="6" xr3:uid="{9F925AE2-D172-42CD-A5BB-694DB2C57B2D}" uniqueName="6" name="Harga_Satuan" queryTableFieldId="6"/>
    <tableColumn id="7" xr3:uid="{962EC9C3-327D-4846-821B-979E0DBBE126}" uniqueName="7" name="Nama_Pelanggan" queryTableFieldId="7" dataDxfId="43"/>
    <tableColumn id="13" xr3:uid="{8DD18AFA-8507-40B7-B4B9-162BBED61450}" uniqueName="13" name="Total_Omzet" queryTableFieldId="12" dataDxfId="42">
      <calculatedColumnFormula>Data_Transaksi3568[[#This Row],[Jumlah_Beli]]*Data_Transaksi3568[[#This Row],[Harga_Satuan]]</calculatedColumnFormula>
    </tableColumn>
    <tableColumn id="14" xr3:uid="{381986F1-E42B-4630-AFB2-C092056CF231}" uniqueName="14" name="Total_Modal" queryTableFieldId="13" dataDxfId="41">
      <calculatedColumnFormula>Data_Transaksi3568[[#This Row],[Jumlah_Beli]]*Data_Transaksi3568[[#This Row],[Harga Modal]]</calculatedColumnFormula>
    </tableColumn>
    <tableColumn id="15" xr3:uid="{FA73AD06-AE95-429E-80E4-94E973DD63AC}" uniqueName="15" name="Total_Profit" queryTableFieldId="14" dataDxfId="40">
      <calculatedColumnFormula>Data_Transaksi3568[[#This Row],[Total_Omzet]]-Data_Transaksi3568[[#This Row],[Total_Modal]]</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7F8084E-ABBC-4F42-BAC8-EF7F5A1D70DF}" name="Master_Produk9" displayName="Master_Produk9" ref="S1:V6" tableType="queryTable" totalsRowShown="0">
  <autoFilter ref="S1:V6" xr:uid="{EF94E9DC-5A50-48DA-8038-6FC12BFD00F9}"/>
  <tableColumns count="4">
    <tableColumn id="1" xr3:uid="{F57EDF00-F883-49D9-9520-F30696CF5E44}" uniqueName="1" name="Kode_Produk" queryTableFieldId="1" dataDxfId="39"/>
    <tableColumn id="2" xr3:uid="{82CA12A9-2D2D-4AF4-8F30-D2A600D71493}" uniqueName="2" name="Nama_Produk" queryTableFieldId="2" dataDxfId="38"/>
    <tableColumn id="3" xr3:uid="{74C33C99-CC48-4182-8662-4ABEFF0FD084}" uniqueName="3" name="Kategori" queryTableFieldId="3" dataDxfId="37"/>
    <tableColumn id="4" xr3:uid="{CDEA6816-5BD6-45A6-BC95-5ED4A4FE6ADC}" uniqueName="4" name="Modal"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C347E-4096-466F-AAE3-A980EFB02B71}">
  <dimension ref="A1:G51"/>
  <sheetViews>
    <sheetView workbookViewId="0">
      <selection activeCell="H3" sqref="H3"/>
    </sheetView>
  </sheetViews>
  <sheetFormatPr defaultRowHeight="14.5" x14ac:dyDescent="0.35"/>
  <cols>
    <col min="1" max="1" width="13.81640625" bestFit="1" customWidth="1"/>
    <col min="2" max="2" width="10.453125" bestFit="1" customWidth="1"/>
    <col min="3" max="3" width="14.453125" bestFit="1" customWidth="1"/>
    <col min="4" max="4" width="9.26953125" bestFit="1" customWidth="1"/>
    <col min="5" max="5" width="13" bestFit="1" customWidth="1"/>
    <col min="6" max="6" width="14.81640625" bestFit="1" customWidth="1"/>
    <col min="7" max="7" width="17.6328125" bestFit="1" customWidth="1"/>
  </cols>
  <sheetData>
    <row r="1" spans="1:7" x14ac:dyDescent="0.35">
      <c r="A1" t="s">
        <v>0</v>
      </c>
      <c r="B1" t="s">
        <v>1</v>
      </c>
      <c r="C1" t="s">
        <v>2</v>
      </c>
      <c r="D1" t="s">
        <v>3</v>
      </c>
      <c r="E1" t="s">
        <v>4</v>
      </c>
      <c r="F1" t="s">
        <v>5</v>
      </c>
      <c r="G1" t="s">
        <v>6</v>
      </c>
    </row>
    <row r="2" spans="1:7" x14ac:dyDescent="0.35">
      <c r="A2" s="1" t="s">
        <v>7</v>
      </c>
      <c r="B2" s="2">
        <v>45292</v>
      </c>
      <c r="C2" s="1" t="s">
        <v>8</v>
      </c>
      <c r="D2" s="1" t="s">
        <v>9</v>
      </c>
      <c r="E2">
        <v>2</v>
      </c>
      <c r="F2">
        <v>150000</v>
      </c>
      <c r="G2" s="1" t="s">
        <v>10</v>
      </c>
    </row>
    <row r="3" spans="1:7" x14ac:dyDescent="0.35">
      <c r="A3" s="1" t="s">
        <v>11</v>
      </c>
      <c r="B3" s="2">
        <v>45292</v>
      </c>
      <c r="C3" s="1" t="s">
        <v>12</v>
      </c>
      <c r="D3" s="1" t="s">
        <v>13</v>
      </c>
      <c r="E3">
        <v>1</v>
      </c>
      <c r="F3">
        <v>250000</v>
      </c>
      <c r="G3" s="1" t="s">
        <v>14</v>
      </c>
    </row>
    <row r="4" spans="1:7" x14ac:dyDescent="0.35">
      <c r="A4" s="1" t="s">
        <v>15</v>
      </c>
      <c r="B4" s="2">
        <v>45293</v>
      </c>
      <c r="C4" s="1" t="s">
        <v>8</v>
      </c>
      <c r="D4" s="1" t="s">
        <v>9</v>
      </c>
      <c r="E4">
        <v>5</v>
      </c>
      <c r="F4">
        <v>150000</v>
      </c>
      <c r="G4" s="1" t="s">
        <v>10</v>
      </c>
    </row>
    <row r="5" spans="1:7" x14ac:dyDescent="0.35">
      <c r="A5" s="1" t="s">
        <v>16</v>
      </c>
      <c r="B5" s="2">
        <v>45293</v>
      </c>
      <c r="C5" s="1" t="s">
        <v>17</v>
      </c>
      <c r="D5" s="1" t="s">
        <v>18</v>
      </c>
      <c r="E5">
        <v>1</v>
      </c>
      <c r="F5">
        <v>500000</v>
      </c>
      <c r="G5" s="1" t="s">
        <v>19</v>
      </c>
    </row>
    <row r="6" spans="1:7" x14ac:dyDescent="0.35">
      <c r="A6" s="1" t="s">
        <v>20</v>
      </c>
      <c r="B6" s="2">
        <v>45294</v>
      </c>
      <c r="C6" s="1" t="s">
        <v>12</v>
      </c>
      <c r="D6" s="1" t="s">
        <v>9</v>
      </c>
      <c r="E6">
        <v>2</v>
      </c>
      <c r="F6">
        <v>250000</v>
      </c>
      <c r="G6" s="1" t="s">
        <v>21</v>
      </c>
    </row>
    <row r="7" spans="1:7" x14ac:dyDescent="0.35">
      <c r="A7" s="1" t="s">
        <v>22</v>
      </c>
      <c r="B7" s="2">
        <v>45294</v>
      </c>
      <c r="C7" s="1" t="s">
        <v>12</v>
      </c>
      <c r="D7" s="1" t="s">
        <v>9</v>
      </c>
      <c r="E7">
        <v>2</v>
      </c>
      <c r="F7">
        <v>250000</v>
      </c>
      <c r="G7" s="1" t="s">
        <v>21</v>
      </c>
    </row>
    <row r="8" spans="1:7" x14ac:dyDescent="0.35">
      <c r="A8" s="1" t="s">
        <v>23</v>
      </c>
      <c r="B8" s="2">
        <v>45295</v>
      </c>
      <c r="C8" s="1" t="s">
        <v>24</v>
      </c>
      <c r="D8" s="1" t="s">
        <v>25</v>
      </c>
      <c r="E8">
        <v>3</v>
      </c>
      <c r="G8" s="1" t="s">
        <v>26</v>
      </c>
    </row>
    <row r="9" spans="1:7" x14ac:dyDescent="0.35">
      <c r="A9" s="1" t="s">
        <v>27</v>
      </c>
      <c r="B9" s="2">
        <v>45295</v>
      </c>
      <c r="C9" s="1" t="s">
        <v>8</v>
      </c>
      <c r="D9" s="1" t="s">
        <v>13</v>
      </c>
      <c r="E9">
        <v>1</v>
      </c>
      <c r="F9">
        <v>150000</v>
      </c>
      <c r="G9" s="1" t="s">
        <v>28</v>
      </c>
    </row>
    <row r="10" spans="1:7" x14ac:dyDescent="0.35">
      <c r="A10" s="1" t="s">
        <v>29</v>
      </c>
      <c r="B10" s="2">
        <v>45296</v>
      </c>
      <c r="C10" s="1" t="s">
        <v>30</v>
      </c>
      <c r="D10" s="1" t="s">
        <v>18</v>
      </c>
      <c r="E10">
        <v>1000</v>
      </c>
      <c r="F10">
        <v>25000</v>
      </c>
      <c r="G10" s="1" t="s">
        <v>31</v>
      </c>
    </row>
    <row r="11" spans="1:7" x14ac:dyDescent="0.35">
      <c r="A11" s="1" t="s">
        <v>32</v>
      </c>
      <c r="B11" s="2">
        <v>45296</v>
      </c>
      <c r="C11" s="1" t="s">
        <v>17</v>
      </c>
      <c r="D11" s="1" t="s">
        <v>9</v>
      </c>
      <c r="E11">
        <v>1</v>
      </c>
      <c r="F11">
        <v>500000</v>
      </c>
      <c r="G11" s="1" t="s">
        <v>33</v>
      </c>
    </row>
    <row r="12" spans="1:7" x14ac:dyDescent="0.35">
      <c r="A12" s="1" t="s">
        <v>34</v>
      </c>
      <c r="B12" s="2">
        <v>45297</v>
      </c>
      <c r="C12" s="1" t="s">
        <v>8</v>
      </c>
      <c r="D12" s="1" t="s">
        <v>25</v>
      </c>
      <c r="E12">
        <v>2</v>
      </c>
      <c r="F12">
        <v>150000</v>
      </c>
      <c r="G12" s="1" t="s">
        <v>35</v>
      </c>
    </row>
    <row r="13" spans="1:7" x14ac:dyDescent="0.35">
      <c r="A13" s="1" t="s">
        <v>36</v>
      </c>
      <c r="B13" s="2">
        <v>45297</v>
      </c>
      <c r="C13" s="1" t="s">
        <v>12</v>
      </c>
      <c r="D13" s="1" t="s">
        <v>9</v>
      </c>
      <c r="E13">
        <v>1</v>
      </c>
      <c r="F13">
        <v>250000</v>
      </c>
      <c r="G13" s="1" t="s">
        <v>37</v>
      </c>
    </row>
    <row r="14" spans="1:7" x14ac:dyDescent="0.35">
      <c r="A14" s="1" t="s">
        <v>38</v>
      </c>
      <c r="B14" s="2">
        <v>45298</v>
      </c>
      <c r="C14" s="1" t="s">
        <v>24</v>
      </c>
      <c r="D14" s="1" t="s">
        <v>18</v>
      </c>
      <c r="E14">
        <v>5</v>
      </c>
      <c r="F14">
        <v>120000</v>
      </c>
      <c r="G14" s="1" t="s">
        <v>39</v>
      </c>
    </row>
    <row r="15" spans="1:7" x14ac:dyDescent="0.35">
      <c r="A15" s="1" t="s">
        <v>40</v>
      </c>
      <c r="B15" s="2">
        <v>45299</v>
      </c>
      <c r="C15" s="1" t="s">
        <v>17</v>
      </c>
      <c r="D15" s="1" t="s">
        <v>13</v>
      </c>
      <c r="E15">
        <v>1</v>
      </c>
      <c r="G15" s="1" t="s">
        <v>41</v>
      </c>
    </row>
    <row r="16" spans="1:7" x14ac:dyDescent="0.35">
      <c r="A16" s="1" t="s">
        <v>42</v>
      </c>
      <c r="B16" s="2">
        <v>45300</v>
      </c>
      <c r="C16" s="1" t="s">
        <v>30</v>
      </c>
      <c r="D16" s="1" t="s">
        <v>25</v>
      </c>
      <c r="E16">
        <v>20</v>
      </c>
      <c r="F16">
        <v>10000</v>
      </c>
      <c r="G16" s="1" t="s">
        <v>43</v>
      </c>
    </row>
    <row r="17" spans="1:7" x14ac:dyDescent="0.35">
      <c r="A17" s="1" t="s">
        <v>44</v>
      </c>
      <c r="B17" s="2">
        <v>45301</v>
      </c>
      <c r="C17" s="1" t="s">
        <v>8</v>
      </c>
      <c r="D17" s="1" t="s">
        <v>9</v>
      </c>
      <c r="E17">
        <v>3</v>
      </c>
      <c r="F17">
        <v>150000</v>
      </c>
      <c r="G17" s="1" t="s">
        <v>45</v>
      </c>
    </row>
    <row r="18" spans="1:7" x14ac:dyDescent="0.35">
      <c r="A18" s="1" t="s">
        <v>46</v>
      </c>
      <c r="B18" s="2">
        <v>45301</v>
      </c>
      <c r="C18" s="1" t="s">
        <v>8</v>
      </c>
      <c r="D18" s="1" t="s">
        <v>9</v>
      </c>
      <c r="E18">
        <v>3</v>
      </c>
      <c r="F18">
        <v>150000</v>
      </c>
      <c r="G18" s="1" t="s">
        <v>45</v>
      </c>
    </row>
    <row r="19" spans="1:7" x14ac:dyDescent="0.35">
      <c r="A19" s="1" t="s">
        <v>47</v>
      </c>
      <c r="B19" s="2">
        <v>45302</v>
      </c>
      <c r="C19" s="1" t="s">
        <v>12</v>
      </c>
      <c r="D19" s="1" t="s">
        <v>18</v>
      </c>
      <c r="E19">
        <v>2</v>
      </c>
      <c r="F19">
        <v>250000</v>
      </c>
      <c r="G19" s="1" t="s">
        <v>48</v>
      </c>
    </row>
    <row r="20" spans="1:7" x14ac:dyDescent="0.35">
      <c r="A20" s="1" t="s">
        <v>49</v>
      </c>
      <c r="B20" s="2">
        <v>45303</v>
      </c>
      <c r="C20" s="1" t="s">
        <v>17</v>
      </c>
      <c r="D20" s="1" t="s">
        <v>9</v>
      </c>
      <c r="E20">
        <v>1</v>
      </c>
      <c r="F20">
        <v>500000</v>
      </c>
      <c r="G20" s="1" t="s">
        <v>50</v>
      </c>
    </row>
    <row r="21" spans="1:7" x14ac:dyDescent="0.35">
      <c r="A21" s="1" t="s">
        <v>51</v>
      </c>
      <c r="B21" s="2">
        <v>45304</v>
      </c>
      <c r="C21" s="1" t="s">
        <v>24</v>
      </c>
      <c r="D21" s="1" t="s">
        <v>52</v>
      </c>
      <c r="E21">
        <v>4</v>
      </c>
      <c r="F21">
        <v>120000</v>
      </c>
      <c r="G21" s="1" t="s">
        <v>53</v>
      </c>
    </row>
    <row r="22" spans="1:7" x14ac:dyDescent="0.35">
      <c r="A22" s="1" t="s">
        <v>54</v>
      </c>
      <c r="B22" s="2">
        <v>45305</v>
      </c>
      <c r="C22" s="1" t="s">
        <v>8</v>
      </c>
      <c r="D22" s="1" t="s">
        <v>25</v>
      </c>
      <c r="E22">
        <v>1</v>
      </c>
      <c r="F22">
        <v>150000</v>
      </c>
      <c r="G22" s="1" t="s">
        <v>55</v>
      </c>
    </row>
    <row r="23" spans="1:7" x14ac:dyDescent="0.35">
      <c r="A23" s="1" t="s">
        <v>56</v>
      </c>
      <c r="B23" s="2">
        <v>45306</v>
      </c>
      <c r="C23" s="1" t="s">
        <v>30</v>
      </c>
      <c r="D23" s="1" t="s">
        <v>57</v>
      </c>
      <c r="E23">
        <v>15</v>
      </c>
      <c r="F23">
        <v>10000</v>
      </c>
      <c r="G23" s="1" t="s">
        <v>58</v>
      </c>
    </row>
    <row r="24" spans="1:7" x14ac:dyDescent="0.35">
      <c r="A24" s="1" t="s">
        <v>59</v>
      </c>
      <c r="B24" s="2">
        <v>45307</v>
      </c>
      <c r="C24" s="1" t="s">
        <v>12</v>
      </c>
      <c r="D24" s="1" t="s">
        <v>18</v>
      </c>
      <c r="E24">
        <v>1</v>
      </c>
      <c r="F24">
        <v>250000</v>
      </c>
      <c r="G24" s="1" t="s">
        <v>60</v>
      </c>
    </row>
    <row r="25" spans="1:7" x14ac:dyDescent="0.35">
      <c r="A25" s="1" t="s">
        <v>61</v>
      </c>
      <c r="B25" s="2">
        <v>45308</v>
      </c>
      <c r="C25" s="1" t="s">
        <v>17</v>
      </c>
      <c r="D25" s="1" t="s">
        <v>13</v>
      </c>
      <c r="E25">
        <v>2</v>
      </c>
      <c r="F25">
        <v>500000</v>
      </c>
      <c r="G25" s="1" t="s">
        <v>62</v>
      </c>
    </row>
    <row r="26" spans="1:7" x14ac:dyDescent="0.35">
      <c r="A26" s="1" t="s">
        <v>63</v>
      </c>
      <c r="B26" s="2">
        <v>45309</v>
      </c>
      <c r="C26" s="1" t="s">
        <v>8</v>
      </c>
      <c r="D26" s="1" t="s">
        <v>9</v>
      </c>
      <c r="E26">
        <v>5</v>
      </c>
      <c r="F26">
        <v>150000</v>
      </c>
      <c r="G26" s="1" t="s">
        <v>64</v>
      </c>
    </row>
    <row r="27" spans="1:7" x14ac:dyDescent="0.35">
      <c r="A27" s="1" t="s">
        <v>65</v>
      </c>
      <c r="B27" s="2">
        <v>45310</v>
      </c>
      <c r="C27" s="1" t="s">
        <v>24</v>
      </c>
      <c r="D27" s="1" t="s">
        <v>25</v>
      </c>
      <c r="E27">
        <v>2</v>
      </c>
      <c r="F27">
        <v>120000</v>
      </c>
      <c r="G27" s="1" t="s">
        <v>66</v>
      </c>
    </row>
    <row r="28" spans="1:7" x14ac:dyDescent="0.35">
      <c r="A28" s="1" t="s">
        <v>67</v>
      </c>
      <c r="B28" s="2">
        <v>45311</v>
      </c>
      <c r="C28" s="1" t="s">
        <v>12</v>
      </c>
      <c r="D28" s="1" t="s">
        <v>9</v>
      </c>
      <c r="E28">
        <v>1</v>
      </c>
      <c r="F28">
        <v>250000</v>
      </c>
      <c r="G28" s="1" t="s">
        <v>68</v>
      </c>
    </row>
    <row r="29" spans="1:7" x14ac:dyDescent="0.35">
      <c r="A29" s="1" t="s">
        <v>69</v>
      </c>
      <c r="B29" s="2">
        <v>45312</v>
      </c>
      <c r="C29" s="1" t="s">
        <v>30</v>
      </c>
      <c r="D29" s="1" t="s">
        <v>18</v>
      </c>
      <c r="E29">
        <v>25</v>
      </c>
      <c r="G29" s="1" t="s">
        <v>70</v>
      </c>
    </row>
    <row r="30" spans="1:7" x14ac:dyDescent="0.35">
      <c r="A30" s="1" t="s">
        <v>71</v>
      </c>
      <c r="B30" s="2">
        <v>45313</v>
      </c>
      <c r="C30" s="1" t="s">
        <v>17</v>
      </c>
      <c r="D30" s="1" t="s">
        <v>72</v>
      </c>
      <c r="E30">
        <v>1</v>
      </c>
      <c r="F30">
        <v>500000</v>
      </c>
      <c r="G30" s="1" t="s">
        <v>73</v>
      </c>
    </row>
    <row r="31" spans="1:7" x14ac:dyDescent="0.35">
      <c r="A31" s="1" t="s">
        <v>74</v>
      </c>
      <c r="B31" s="2">
        <v>45314</v>
      </c>
      <c r="C31" s="1" t="s">
        <v>8</v>
      </c>
      <c r="D31" s="1" t="s">
        <v>9</v>
      </c>
      <c r="E31">
        <v>2</v>
      </c>
      <c r="F31">
        <v>150000</v>
      </c>
      <c r="G31" s="1" t="s">
        <v>75</v>
      </c>
    </row>
    <row r="32" spans="1:7" x14ac:dyDescent="0.35">
      <c r="A32" s="1" t="s">
        <v>76</v>
      </c>
      <c r="B32" s="2">
        <v>45315</v>
      </c>
      <c r="C32" s="1" t="s">
        <v>12</v>
      </c>
      <c r="D32" s="1" t="s">
        <v>25</v>
      </c>
      <c r="E32">
        <v>3</v>
      </c>
      <c r="F32">
        <v>250000</v>
      </c>
      <c r="G32" s="1" t="s">
        <v>77</v>
      </c>
    </row>
    <row r="33" spans="1:7" x14ac:dyDescent="0.35">
      <c r="A33" s="1" t="s">
        <v>78</v>
      </c>
      <c r="B33" s="2">
        <v>45316</v>
      </c>
      <c r="C33" s="1" t="s">
        <v>24</v>
      </c>
      <c r="D33" s="1" t="s">
        <v>79</v>
      </c>
      <c r="E33">
        <v>1</v>
      </c>
      <c r="F33">
        <v>120000</v>
      </c>
      <c r="G33" s="1" t="s">
        <v>80</v>
      </c>
    </row>
    <row r="34" spans="1:7" x14ac:dyDescent="0.35">
      <c r="A34" s="1" t="s">
        <v>81</v>
      </c>
      <c r="B34" s="2">
        <v>45317</v>
      </c>
      <c r="C34" s="1" t="s">
        <v>8</v>
      </c>
      <c r="D34" s="1" t="s">
        <v>18</v>
      </c>
      <c r="E34">
        <v>4</v>
      </c>
      <c r="F34">
        <v>150000</v>
      </c>
      <c r="G34" s="1" t="s">
        <v>82</v>
      </c>
    </row>
    <row r="35" spans="1:7" x14ac:dyDescent="0.35">
      <c r="A35" s="1" t="s">
        <v>83</v>
      </c>
      <c r="B35" s="2">
        <v>45318</v>
      </c>
      <c r="C35" s="1" t="s">
        <v>30</v>
      </c>
      <c r="D35" s="1" t="s">
        <v>13</v>
      </c>
      <c r="E35">
        <v>30</v>
      </c>
      <c r="F35">
        <v>10000</v>
      </c>
      <c r="G35" s="1" t="s">
        <v>84</v>
      </c>
    </row>
    <row r="36" spans="1:7" x14ac:dyDescent="0.35">
      <c r="A36" s="1" t="s">
        <v>85</v>
      </c>
      <c r="B36" s="2">
        <v>45319</v>
      </c>
      <c r="C36" s="1" t="s">
        <v>17</v>
      </c>
      <c r="D36" s="1" t="s">
        <v>9</v>
      </c>
      <c r="E36">
        <v>1</v>
      </c>
      <c r="F36">
        <v>500000</v>
      </c>
      <c r="G36" s="1" t="s">
        <v>86</v>
      </c>
    </row>
    <row r="37" spans="1:7" x14ac:dyDescent="0.35">
      <c r="A37" s="1" t="s">
        <v>85</v>
      </c>
      <c r="B37" s="2">
        <v>45320</v>
      </c>
      <c r="C37" s="1" t="s">
        <v>12</v>
      </c>
      <c r="D37" s="1" t="s">
        <v>87</v>
      </c>
      <c r="E37">
        <v>2</v>
      </c>
      <c r="F37">
        <v>250000</v>
      </c>
      <c r="G37" s="1" t="s">
        <v>88</v>
      </c>
    </row>
    <row r="38" spans="1:7" x14ac:dyDescent="0.35">
      <c r="A38" s="1" t="s">
        <v>89</v>
      </c>
      <c r="B38" s="2"/>
      <c r="C38" s="1" t="s">
        <v>8</v>
      </c>
      <c r="D38" s="1" t="s">
        <v>9</v>
      </c>
      <c r="E38">
        <v>6</v>
      </c>
      <c r="F38">
        <v>150000</v>
      </c>
      <c r="G38" s="1" t="s">
        <v>33</v>
      </c>
    </row>
    <row r="39" spans="1:7" x14ac:dyDescent="0.35">
      <c r="A39" s="1" t="s">
        <v>90</v>
      </c>
      <c r="B39" s="2">
        <v>45322</v>
      </c>
      <c r="C39" s="1" t="s">
        <v>24</v>
      </c>
      <c r="D39" s="1" t="s">
        <v>18</v>
      </c>
      <c r="E39">
        <v>2</v>
      </c>
      <c r="F39">
        <v>120000</v>
      </c>
      <c r="G39" s="1" t="s">
        <v>91</v>
      </c>
    </row>
    <row r="40" spans="1:7" x14ac:dyDescent="0.35">
      <c r="A40" s="1" t="s">
        <v>92</v>
      </c>
      <c r="B40" s="2">
        <v>45323</v>
      </c>
      <c r="C40" s="1" t="s">
        <v>30</v>
      </c>
      <c r="D40" s="1" t="s">
        <v>13</v>
      </c>
      <c r="E40">
        <v>10</v>
      </c>
      <c r="F40">
        <v>10000</v>
      </c>
      <c r="G40" s="1" t="s">
        <v>93</v>
      </c>
    </row>
    <row r="41" spans="1:7" x14ac:dyDescent="0.35">
      <c r="A41" s="1" t="s">
        <v>94</v>
      </c>
      <c r="B41" s="2">
        <v>45324</v>
      </c>
      <c r="C41" s="1" t="s">
        <v>17</v>
      </c>
      <c r="D41" s="1" t="s">
        <v>9</v>
      </c>
      <c r="E41">
        <v>1</v>
      </c>
      <c r="F41">
        <v>500000</v>
      </c>
      <c r="G41" s="1" t="s">
        <v>95</v>
      </c>
    </row>
    <row r="42" spans="1:7" x14ac:dyDescent="0.35">
      <c r="A42" s="1" t="s">
        <v>96</v>
      </c>
      <c r="B42" s="2">
        <v>45325</v>
      </c>
      <c r="C42" s="1" t="s">
        <v>12</v>
      </c>
      <c r="D42" s="1" t="s">
        <v>97</v>
      </c>
      <c r="E42">
        <v>1</v>
      </c>
      <c r="F42">
        <v>250000</v>
      </c>
      <c r="G42" s="1" t="s">
        <v>98</v>
      </c>
    </row>
    <row r="43" spans="1:7" x14ac:dyDescent="0.35">
      <c r="A43" s="1" t="s">
        <v>99</v>
      </c>
      <c r="B43" s="2">
        <v>45326</v>
      </c>
      <c r="C43" s="1" t="s">
        <v>8</v>
      </c>
      <c r="D43" s="1" t="s">
        <v>9</v>
      </c>
      <c r="E43">
        <v>3</v>
      </c>
      <c r="F43">
        <v>150000</v>
      </c>
      <c r="G43" s="1" t="s">
        <v>100</v>
      </c>
    </row>
    <row r="44" spans="1:7" x14ac:dyDescent="0.35">
      <c r="A44" s="1" t="s">
        <v>101</v>
      </c>
      <c r="B44" s="2">
        <v>45327</v>
      </c>
      <c r="C44" s="1" t="s">
        <v>24</v>
      </c>
      <c r="D44" s="1" t="s">
        <v>18</v>
      </c>
      <c r="E44">
        <v>5</v>
      </c>
      <c r="F44">
        <v>120000</v>
      </c>
      <c r="G44" s="1" t="s">
        <v>102</v>
      </c>
    </row>
    <row r="45" spans="1:7" x14ac:dyDescent="0.35">
      <c r="A45" s="1" t="s">
        <v>103</v>
      </c>
      <c r="B45" s="2">
        <v>45328</v>
      </c>
      <c r="C45" s="1" t="s">
        <v>30</v>
      </c>
      <c r="D45" s="1" t="s">
        <v>13</v>
      </c>
      <c r="E45">
        <v>20</v>
      </c>
      <c r="G45" s="1" t="s">
        <v>104</v>
      </c>
    </row>
    <row r="46" spans="1:7" x14ac:dyDescent="0.35">
      <c r="A46" s="1" t="s">
        <v>105</v>
      </c>
      <c r="B46" s="2">
        <v>45329</v>
      </c>
      <c r="C46" s="1" t="s">
        <v>17</v>
      </c>
      <c r="D46" s="1" t="s">
        <v>9</v>
      </c>
      <c r="E46">
        <v>2</v>
      </c>
      <c r="F46">
        <v>500000</v>
      </c>
      <c r="G46" s="1" t="s">
        <v>35</v>
      </c>
    </row>
    <row r="47" spans="1:7" x14ac:dyDescent="0.35">
      <c r="A47" s="1" t="s">
        <v>106</v>
      </c>
      <c r="B47" s="2">
        <v>45330</v>
      </c>
      <c r="C47" s="1" t="s">
        <v>12</v>
      </c>
      <c r="D47" s="1" t="s">
        <v>25</v>
      </c>
      <c r="E47">
        <v>2</v>
      </c>
      <c r="F47">
        <v>250000</v>
      </c>
      <c r="G47" s="1" t="s">
        <v>107</v>
      </c>
    </row>
    <row r="48" spans="1:7" x14ac:dyDescent="0.35">
      <c r="A48" s="1" t="s">
        <v>108</v>
      </c>
      <c r="B48" s="2">
        <v>45331</v>
      </c>
      <c r="C48" s="1" t="s">
        <v>8</v>
      </c>
      <c r="D48" s="1" t="s">
        <v>9</v>
      </c>
      <c r="E48">
        <v>4</v>
      </c>
      <c r="F48">
        <v>150000</v>
      </c>
      <c r="G48" s="1" t="s">
        <v>35</v>
      </c>
    </row>
    <row r="49" spans="1:7" x14ac:dyDescent="0.35">
      <c r="A49" s="1" t="s">
        <v>109</v>
      </c>
      <c r="B49" s="2">
        <v>45332</v>
      </c>
      <c r="C49" s="1" t="s">
        <v>24</v>
      </c>
      <c r="D49" s="1" t="s">
        <v>18</v>
      </c>
      <c r="E49">
        <v>1</v>
      </c>
      <c r="F49">
        <v>120000</v>
      </c>
      <c r="G49" s="1" t="s">
        <v>110</v>
      </c>
    </row>
    <row r="50" spans="1:7" x14ac:dyDescent="0.35">
      <c r="A50" s="1" t="s">
        <v>111</v>
      </c>
      <c r="B50" s="2">
        <v>45333</v>
      </c>
      <c r="C50" s="1" t="s">
        <v>30</v>
      </c>
      <c r="D50" s="1" t="s">
        <v>13</v>
      </c>
      <c r="E50">
        <v>15</v>
      </c>
      <c r="F50">
        <v>10000</v>
      </c>
      <c r="G50" s="1" t="s">
        <v>112</v>
      </c>
    </row>
    <row r="51" spans="1:7" x14ac:dyDescent="0.35">
      <c r="A51" s="1" t="s">
        <v>113</v>
      </c>
      <c r="B51" s="2">
        <v>45334</v>
      </c>
      <c r="C51" s="1" t="s">
        <v>17</v>
      </c>
      <c r="D51" s="1" t="s">
        <v>9</v>
      </c>
      <c r="E51">
        <v>1</v>
      </c>
      <c r="F51">
        <v>500000</v>
      </c>
      <c r="G51" s="1" t="s">
        <v>114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7092E-5D82-435D-B0F0-C0913D815BA1}">
  <dimension ref="A1:J51"/>
  <sheetViews>
    <sheetView topLeftCell="A17" zoomScaleNormal="100" workbookViewId="0">
      <selection activeCell="H31" sqref="H31"/>
    </sheetView>
  </sheetViews>
  <sheetFormatPr defaultRowHeight="14.5" x14ac:dyDescent="0.35"/>
  <cols>
    <col min="1" max="1" width="13.81640625" bestFit="1" customWidth="1"/>
    <col min="2" max="2" width="10.453125" bestFit="1" customWidth="1"/>
    <col min="3" max="3" width="14.453125" bestFit="1" customWidth="1"/>
    <col min="4" max="4" width="9.26953125" bestFit="1" customWidth="1"/>
    <col min="5" max="5" width="13" bestFit="1" customWidth="1"/>
    <col min="6" max="6" width="14.81640625" bestFit="1" customWidth="1"/>
    <col min="7" max="7" width="17.6328125" bestFit="1" customWidth="1"/>
    <col min="10" max="10" width="12.36328125" bestFit="1" customWidth="1"/>
  </cols>
  <sheetData>
    <row r="1" spans="1:10" x14ac:dyDescent="0.35">
      <c r="A1" t="s">
        <v>0</v>
      </c>
      <c r="B1" t="s">
        <v>1</v>
      </c>
      <c r="C1" t="s">
        <v>2</v>
      </c>
      <c r="D1" t="s">
        <v>3</v>
      </c>
      <c r="E1" t="s">
        <v>4</v>
      </c>
      <c r="F1" t="s">
        <v>5</v>
      </c>
      <c r="G1" t="s">
        <v>6</v>
      </c>
      <c r="J1" s="3" t="s">
        <v>115</v>
      </c>
    </row>
    <row r="2" spans="1:10" x14ac:dyDescent="0.35">
      <c r="A2" s="1" t="s">
        <v>7</v>
      </c>
      <c r="B2" s="2">
        <v>45292</v>
      </c>
      <c r="C2" s="1" t="s">
        <v>8</v>
      </c>
      <c r="D2" s="1" t="s">
        <v>9</v>
      </c>
      <c r="E2">
        <v>2</v>
      </c>
      <c r="F2">
        <v>150000</v>
      </c>
      <c r="G2" s="1" t="s">
        <v>10</v>
      </c>
      <c r="J2" s="4" t="s">
        <v>87</v>
      </c>
    </row>
    <row r="3" spans="1:10" x14ac:dyDescent="0.35">
      <c r="A3" s="1" t="s">
        <v>11</v>
      </c>
      <c r="B3" s="2">
        <v>45292</v>
      </c>
      <c r="C3" s="1" t="s">
        <v>12</v>
      </c>
      <c r="D3" s="1" t="s">
        <v>13</v>
      </c>
      <c r="E3">
        <v>1</v>
      </c>
      <c r="F3">
        <v>250000</v>
      </c>
      <c r="G3" s="1" t="s">
        <v>14</v>
      </c>
      <c r="J3" s="4" t="s">
        <v>72</v>
      </c>
    </row>
    <row r="4" spans="1:10" x14ac:dyDescent="0.35">
      <c r="A4" s="1" t="s">
        <v>15</v>
      </c>
      <c r="B4" s="2">
        <v>45293</v>
      </c>
      <c r="C4" s="1" t="s">
        <v>8</v>
      </c>
      <c r="D4" s="1" t="s">
        <v>9</v>
      </c>
      <c r="E4">
        <v>5</v>
      </c>
      <c r="F4">
        <v>150000</v>
      </c>
      <c r="G4" s="1" t="s">
        <v>10</v>
      </c>
      <c r="J4" s="4" t="s">
        <v>13</v>
      </c>
    </row>
    <row r="5" spans="1:10" x14ac:dyDescent="0.35">
      <c r="A5" s="1" t="s">
        <v>16</v>
      </c>
      <c r="B5" s="2">
        <v>45293</v>
      </c>
      <c r="C5" s="1" t="s">
        <v>17</v>
      </c>
      <c r="D5" s="1" t="s">
        <v>18</v>
      </c>
      <c r="E5">
        <v>1</v>
      </c>
      <c r="F5">
        <v>500000</v>
      </c>
      <c r="G5" s="1" t="s">
        <v>19</v>
      </c>
      <c r="J5" s="4" t="s">
        <v>52</v>
      </c>
    </row>
    <row r="6" spans="1:10" x14ac:dyDescent="0.35">
      <c r="A6" s="1" t="s">
        <v>20</v>
      </c>
      <c r="B6" s="2">
        <v>45294</v>
      </c>
      <c r="C6" s="1" t="s">
        <v>12</v>
      </c>
      <c r="D6" s="1" t="s">
        <v>9</v>
      </c>
      <c r="E6">
        <v>2</v>
      </c>
      <c r="F6">
        <v>250000</v>
      </c>
      <c r="G6" s="1" t="s">
        <v>21</v>
      </c>
      <c r="J6" s="4" t="s">
        <v>9</v>
      </c>
    </row>
    <row r="7" spans="1:10" x14ac:dyDescent="0.35">
      <c r="A7" s="1" t="s">
        <v>22</v>
      </c>
      <c r="B7" s="2">
        <v>45294</v>
      </c>
      <c r="C7" s="1" t="s">
        <v>12</v>
      </c>
      <c r="D7" s="1" t="s">
        <v>9</v>
      </c>
      <c r="E7">
        <v>2</v>
      </c>
      <c r="F7">
        <v>250000</v>
      </c>
      <c r="G7" s="1" t="s">
        <v>21</v>
      </c>
      <c r="J7" s="4" t="s">
        <v>79</v>
      </c>
    </row>
    <row r="8" spans="1:10" x14ac:dyDescent="0.35">
      <c r="A8" s="1" t="s">
        <v>23</v>
      </c>
      <c r="B8" s="2">
        <v>45295</v>
      </c>
      <c r="C8" s="1" t="s">
        <v>24</v>
      </c>
      <c r="D8" s="1" t="s">
        <v>25</v>
      </c>
      <c r="E8">
        <v>3</v>
      </c>
      <c r="F8" s="5"/>
      <c r="G8" s="1" t="s">
        <v>26</v>
      </c>
      <c r="J8" s="4" t="s">
        <v>25</v>
      </c>
    </row>
    <row r="9" spans="1:10" x14ac:dyDescent="0.35">
      <c r="A9" s="1" t="s">
        <v>27</v>
      </c>
      <c r="B9" s="2">
        <v>45295</v>
      </c>
      <c r="C9" s="1" t="s">
        <v>8</v>
      </c>
      <c r="D9" s="1" t="s">
        <v>13</v>
      </c>
      <c r="E9">
        <v>1</v>
      </c>
      <c r="F9">
        <v>150000</v>
      </c>
      <c r="G9" s="1" t="s">
        <v>28</v>
      </c>
      <c r="J9" s="4" t="s">
        <v>18</v>
      </c>
    </row>
    <row r="10" spans="1:10" x14ac:dyDescent="0.35">
      <c r="A10" s="1" t="s">
        <v>29</v>
      </c>
      <c r="B10" s="2">
        <v>45296</v>
      </c>
      <c r="C10" s="1" t="s">
        <v>30</v>
      </c>
      <c r="D10" s="1" t="s">
        <v>18</v>
      </c>
      <c r="E10">
        <v>1000</v>
      </c>
      <c r="F10">
        <v>25000</v>
      </c>
      <c r="G10" s="1" t="s">
        <v>31</v>
      </c>
      <c r="J10" s="4" t="s">
        <v>116</v>
      </c>
    </row>
    <row r="11" spans="1:10" x14ac:dyDescent="0.35">
      <c r="A11" s="1" t="s">
        <v>32</v>
      </c>
      <c r="B11" s="2">
        <v>45296</v>
      </c>
      <c r="C11" s="1" t="s">
        <v>17</v>
      </c>
      <c r="D11" s="1" t="s">
        <v>9</v>
      </c>
      <c r="E11">
        <v>1</v>
      </c>
      <c r="F11">
        <v>500000</v>
      </c>
      <c r="G11" s="1" t="s">
        <v>33</v>
      </c>
      <c r="J11" s="4" t="s">
        <v>117</v>
      </c>
    </row>
    <row r="12" spans="1:10" x14ac:dyDescent="0.35">
      <c r="A12" s="1" t="s">
        <v>34</v>
      </c>
      <c r="B12" s="2">
        <v>45297</v>
      </c>
      <c r="C12" s="1" t="s">
        <v>8</v>
      </c>
      <c r="D12" s="1" t="s">
        <v>25</v>
      </c>
      <c r="E12">
        <v>2</v>
      </c>
      <c r="F12">
        <v>150000</v>
      </c>
      <c r="G12" s="6" t="s">
        <v>35</v>
      </c>
    </row>
    <row r="13" spans="1:10" x14ac:dyDescent="0.35">
      <c r="A13" s="1" t="s">
        <v>36</v>
      </c>
      <c r="B13" s="2">
        <v>45297</v>
      </c>
      <c r="C13" s="1" t="s">
        <v>12</v>
      </c>
      <c r="D13" s="1" t="s">
        <v>9</v>
      </c>
      <c r="E13">
        <v>1</v>
      </c>
      <c r="F13">
        <v>250000</v>
      </c>
      <c r="G13" s="1" t="s">
        <v>37</v>
      </c>
    </row>
    <row r="14" spans="1:10" x14ac:dyDescent="0.35">
      <c r="A14" s="1" t="s">
        <v>38</v>
      </c>
      <c r="B14" s="2">
        <v>45298</v>
      </c>
      <c r="C14" s="1" t="s">
        <v>24</v>
      </c>
      <c r="D14" s="1" t="s">
        <v>18</v>
      </c>
      <c r="E14">
        <v>5</v>
      </c>
      <c r="F14">
        <v>120000</v>
      </c>
      <c r="G14" s="1" t="s">
        <v>39</v>
      </c>
    </row>
    <row r="15" spans="1:10" x14ac:dyDescent="0.35">
      <c r="A15" s="1" t="s">
        <v>40</v>
      </c>
      <c r="B15" s="2">
        <v>45299</v>
      </c>
      <c r="C15" s="1" t="s">
        <v>17</v>
      </c>
      <c r="D15" s="1" t="s">
        <v>13</v>
      </c>
      <c r="E15">
        <v>1</v>
      </c>
      <c r="F15" s="5"/>
      <c r="G15" s="1" t="s">
        <v>41</v>
      </c>
    </row>
    <row r="16" spans="1:10" x14ac:dyDescent="0.35">
      <c r="A16" s="1" t="s">
        <v>42</v>
      </c>
      <c r="B16" s="2">
        <v>45300</v>
      </c>
      <c r="C16" s="1" t="s">
        <v>30</v>
      </c>
      <c r="D16" s="1" t="s">
        <v>25</v>
      </c>
      <c r="E16">
        <v>20</v>
      </c>
      <c r="F16">
        <v>10000</v>
      </c>
      <c r="G16" s="1" t="s">
        <v>43</v>
      </c>
    </row>
    <row r="17" spans="1:7" x14ac:dyDescent="0.35">
      <c r="A17" s="1" t="s">
        <v>44</v>
      </c>
      <c r="B17" s="2">
        <v>45301</v>
      </c>
      <c r="C17" s="1" t="s">
        <v>8</v>
      </c>
      <c r="D17" s="1" t="s">
        <v>9</v>
      </c>
      <c r="E17">
        <v>3</v>
      </c>
      <c r="F17">
        <v>150000</v>
      </c>
      <c r="G17" s="1" t="s">
        <v>45</v>
      </c>
    </row>
    <row r="18" spans="1:7" x14ac:dyDescent="0.35">
      <c r="A18" s="1" t="s">
        <v>46</v>
      </c>
      <c r="B18" s="2">
        <v>45301</v>
      </c>
      <c r="C18" s="1" t="s">
        <v>8</v>
      </c>
      <c r="D18" s="1" t="s">
        <v>9</v>
      </c>
      <c r="E18">
        <v>3</v>
      </c>
      <c r="F18">
        <v>150000</v>
      </c>
      <c r="G18" s="1" t="s">
        <v>45</v>
      </c>
    </row>
    <row r="19" spans="1:7" x14ac:dyDescent="0.35">
      <c r="A19" s="1" t="s">
        <v>47</v>
      </c>
      <c r="B19" s="2">
        <v>45302</v>
      </c>
      <c r="C19" s="1" t="s">
        <v>12</v>
      </c>
      <c r="D19" s="1" t="s">
        <v>18</v>
      </c>
      <c r="E19">
        <v>2</v>
      </c>
      <c r="F19">
        <v>250000</v>
      </c>
      <c r="G19" s="1" t="s">
        <v>48</v>
      </c>
    </row>
    <row r="20" spans="1:7" x14ac:dyDescent="0.35">
      <c r="A20" s="1" t="s">
        <v>49</v>
      </c>
      <c r="B20" s="2">
        <v>45303</v>
      </c>
      <c r="C20" s="1" t="s">
        <v>17</v>
      </c>
      <c r="D20" s="1" t="s">
        <v>9</v>
      </c>
      <c r="E20">
        <v>1</v>
      </c>
      <c r="F20">
        <v>500000</v>
      </c>
      <c r="G20" s="1" t="s">
        <v>50</v>
      </c>
    </row>
    <row r="21" spans="1:7" x14ac:dyDescent="0.35">
      <c r="A21" s="1" t="s">
        <v>51</v>
      </c>
      <c r="B21" s="2">
        <v>45304</v>
      </c>
      <c r="C21" s="1" t="s">
        <v>24</v>
      </c>
      <c r="D21" s="6" t="s">
        <v>52</v>
      </c>
      <c r="E21">
        <v>4</v>
      </c>
      <c r="F21">
        <v>120000</v>
      </c>
      <c r="G21" s="1" t="s">
        <v>53</v>
      </c>
    </row>
    <row r="22" spans="1:7" x14ac:dyDescent="0.35">
      <c r="A22" s="1" t="s">
        <v>54</v>
      </c>
      <c r="B22" s="2">
        <v>45305</v>
      </c>
      <c r="C22" s="1" t="s">
        <v>8</v>
      </c>
      <c r="D22" s="1" t="s">
        <v>25</v>
      </c>
      <c r="E22">
        <v>1</v>
      </c>
      <c r="F22">
        <v>150000</v>
      </c>
      <c r="G22" s="1" t="s">
        <v>55</v>
      </c>
    </row>
    <row r="23" spans="1:7" x14ac:dyDescent="0.35">
      <c r="A23" s="1" t="s">
        <v>56</v>
      </c>
      <c r="B23" s="2">
        <v>45306</v>
      </c>
      <c r="C23" s="1" t="s">
        <v>30</v>
      </c>
      <c r="D23" s="1" t="s">
        <v>57</v>
      </c>
      <c r="E23">
        <v>15</v>
      </c>
      <c r="F23">
        <v>10000</v>
      </c>
      <c r="G23" s="1" t="s">
        <v>58</v>
      </c>
    </row>
    <row r="24" spans="1:7" x14ac:dyDescent="0.35">
      <c r="A24" s="1" t="s">
        <v>59</v>
      </c>
      <c r="B24" s="2">
        <v>45307</v>
      </c>
      <c r="C24" s="1" t="s">
        <v>12</v>
      </c>
      <c r="D24" s="1" t="s">
        <v>18</v>
      </c>
      <c r="E24">
        <v>1</v>
      </c>
      <c r="F24">
        <v>250000</v>
      </c>
      <c r="G24" s="1" t="s">
        <v>60</v>
      </c>
    </row>
    <row r="25" spans="1:7" x14ac:dyDescent="0.35">
      <c r="A25" s="1" t="s">
        <v>61</v>
      </c>
      <c r="B25" s="2">
        <v>45308</v>
      </c>
      <c r="C25" s="1" t="s">
        <v>17</v>
      </c>
      <c r="D25" s="1" t="s">
        <v>13</v>
      </c>
      <c r="E25">
        <v>2</v>
      </c>
      <c r="F25">
        <v>500000</v>
      </c>
      <c r="G25" s="1" t="s">
        <v>62</v>
      </c>
    </row>
    <row r="26" spans="1:7" x14ac:dyDescent="0.35">
      <c r="A26" s="1" t="s">
        <v>63</v>
      </c>
      <c r="B26" s="2">
        <v>45309</v>
      </c>
      <c r="C26" s="1" t="s">
        <v>8</v>
      </c>
      <c r="D26" s="1" t="s">
        <v>9</v>
      </c>
      <c r="E26">
        <v>5</v>
      </c>
      <c r="F26">
        <v>150000</v>
      </c>
      <c r="G26" s="1" t="s">
        <v>64</v>
      </c>
    </row>
    <row r="27" spans="1:7" x14ac:dyDescent="0.35">
      <c r="A27" s="1" t="s">
        <v>65</v>
      </c>
      <c r="B27" s="2">
        <v>45310</v>
      </c>
      <c r="C27" s="1" t="s">
        <v>24</v>
      </c>
      <c r="D27" s="1" t="s">
        <v>25</v>
      </c>
      <c r="E27">
        <v>2</v>
      </c>
      <c r="F27">
        <v>120000</v>
      </c>
      <c r="G27" s="1" t="s">
        <v>66</v>
      </c>
    </row>
    <row r="28" spans="1:7" x14ac:dyDescent="0.35">
      <c r="A28" s="1" t="s">
        <v>67</v>
      </c>
      <c r="B28" s="2">
        <v>45311</v>
      </c>
      <c r="C28" s="1" t="s">
        <v>12</v>
      </c>
      <c r="D28" s="1" t="s">
        <v>9</v>
      </c>
      <c r="E28">
        <v>1</v>
      </c>
      <c r="F28">
        <v>250000</v>
      </c>
      <c r="G28" s="1" t="s">
        <v>68</v>
      </c>
    </row>
    <row r="29" spans="1:7" x14ac:dyDescent="0.35">
      <c r="A29" s="1" t="s">
        <v>69</v>
      </c>
      <c r="B29" s="2">
        <v>45312</v>
      </c>
      <c r="C29" s="1" t="s">
        <v>30</v>
      </c>
      <c r="D29" s="1" t="s">
        <v>18</v>
      </c>
      <c r="E29">
        <v>25</v>
      </c>
      <c r="F29" s="5"/>
      <c r="G29" s="1" t="s">
        <v>70</v>
      </c>
    </row>
    <row r="30" spans="1:7" x14ac:dyDescent="0.35">
      <c r="A30" s="1" t="s">
        <v>71</v>
      </c>
      <c r="B30" s="2">
        <v>45313</v>
      </c>
      <c r="C30" s="1" t="s">
        <v>17</v>
      </c>
      <c r="D30" s="6" t="s">
        <v>72</v>
      </c>
      <c r="E30">
        <v>1</v>
      </c>
      <c r="F30">
        <v>500000</v>
      </c>
      <c r="G30" s="1" t="s">
        <v>73</v>
      </c>
    </row>
    <row r="31" spans="1:7" x14ac:dyDescent="0.35">
      <c r="A31" s="1" t="s">
        <v>74</v>
      </c>
      <c r="B31" s="2">
        <v>45314</v>
      </c>
      <c r="C31" s="1" t="s">
        <v>8</v>
      </c>
      <c r="D31" s="1" t="s">
        <v>9</v>
      </c>
      <c r="E31">
        <v>2</v>
      </c>
      <c r="F31">
        <v>150000</v>
      </c>
      <c r="G31" s="1" t="s">
        <v>75</v>
      </c>
    </row>
    <row r="32" spans="1:7" x14ac:dyDescent="0.35">
      <c r="A32" s="1" t="s">
        <v>76</v>
      </c>
      <c r="B32" s="2">
        <v>45315</v>
      </c>
      <c r="C32" s="1" t="s">
        <v>12</v>
      </c>
      <c r="D32" s="1" t="s">
        <v>25</v>
      </c>
      <c r="E32">
        <v>3</v>
      </c>
      <c r="F32">
        <v>250000</v>
      </c>
      <c r="G32" s="1" t="s">
        <v>77</v>
      </c>
    </row>
    <row r="33" spans="1:7" x14ac:dyDescent="0.35">
      <c r="A33" s="1" t="s">
        <v>78</v>
      </c>
      <c r="B33" s="2">
        <v>45316</v>
      </c>
      <c r="C33" s="1" t="s">
        <v>24</v>
      </c>
      <c r="D33" s="6" t="s">
        <v>79</v>
      </c>
      <c r="E33">
        <v>1</v>
      </c>
      <c r="F33">
        <v>120000</v>
      </c>
      <c r="G33" s="1" t="s">
        <v>80</v>
      </c>
    </row>
    <row r="34" spans="1:7" x14ac:dyDescent="0.35">
      <c r="A34" s="1" t="s">
        <v>81</v>
      </c>
      <c r="B34" s="2">
        <v>45317</v>
      </c>
      <c r="C34" s="1" t="s">
        <v>8</v>
      </c>
      <c r="D34" s="1" t="s">
        <v>18</v>
      </c>
      <c r="E34">
        <v>4</v>
      </c>
      <c r="F34">
        <v>150000</v>
      </c>
      <c r="G34" s="1" t="s">
        <v>82</v>
      </c>
    </row>
    <row r="35" spans="1:7" x14ac:dyDescent="0.35">
      <c r="A35" s="1" t="s">
        <v>83</v>
      </c>
      <c r="B35" s="2">
        <v>45318</v>
      </c>
      <c r="C35" s="1" t="s">
        <v>30</v>
      </c>
      <c r="D35" s="1" t="s">
        <v>13</v>
      </c>
      <c r="E35">
        <v>30</v>
      </c>
      <c r="F35">
        <v>10000</v>
      </c>
      <c r="G35" s="1" t="s">
        <v>84</v>
      </c>
    </row>
    <row r="36" spans="1:7" x14ac:dyDescent="0.35">
      <c r="A36" s="1" t="s">
        <v>85</v>
      </c>
      <c r="B36" s="2">
        <v>45319</v>
      </c>
      <c r="C36" s="1" t="s">
        <v>17</v>
      </c>
      <c r="D36" s="1" t="s">
        <v>9</v>
      </c>
      <c r="E36">
        <v>1</v>
      </c>
      <c r="F36">
        <v>500000</v>
      </c>
      <c r="G36" s="1" t="s">
        <v>86</v>
      </c>
    </row>
    <row r="37" spans="1:7" x14ac:dyDescent="0.35">
      <c r="A37" s="1" t="s">
        <v>85</v>
      </c>
      <c r="B37" s="2">
        <v>45320</v>
      </c>
      <c r="C37" s="1" t="s">
        <v>12</v>
      </c>
      <c r="D37" s="6" t="s">
        <v>87</v>
      </c>
      <c r="E37">
        <v>2</v>
      </c>
      <c r="F37">
        <v>250000</v>
      </c>
      <c r="G37" s="1" t="s">
        <v>88</v>
      </c>
    </row>
    <row r="38" spans="1:7" x14ac:dyDescent="0.35">
      <c r="A38" s="1" t="s">
        <v>89</v>
      </c>
      <c r="B38" s="7" t="s">
        <v>118</v>
      </c>
      <c r="C38" s="1" t="s">
        <v>8</v>
      </c>
      <c r="D38" s="1" t="s">
        <v>9</v>
      </c>
      <c r="E38">
        <v>6</v>
      </c>
      <c r="F38">
        <v>150000</v>
      </c>
      <c r="G38" s="1" t="s">
        <v>33</v>
      </c>
    </row>
    <row r="39" spans="1:7" x14ac:dyDescent="0.35">
      <c r="A39" s="1" t="s">
        <v>90</v>
      </c>
      <c r="B39" s="2">
        <v>45322</v>
      </c>
      <c r="C39" s="1" t="s">
        <v>24</v>
      </c>
      <c r="D39" s="1" t="s">
        <v>18</v>
      </c>
      <c r="E39">
        <v>2</v>
      </c>
      <c r="F39">
        <v>120000</v>
      </c>
      <c r="G39" s="1" t="s">
        <v>91</v>
      </c>
    </row>
    <row r="40" spans="1:7" x14ac:dyDescent="0.35">
      <c r="A40" s="1" t="s">
        <v>92</v>
      </c>
      <c r="B40" s="2">
        <v>45323</v>
      </c>
      <c r="C40" s="1" t="s">
        <v>30</v>
      </c>
      <c r="D40" s="1" t="s">
        <v>13</v>
      </c>
      <c r="E40">
        <v>10</v>
      </c>
      <c r="F40">
        <v>10000</v>
      </c>
      <c r="G40" s="1" t="s">
        <v>93</v>
      </c>
    </row>
    <row r="41" spans="1:7" x14ac:dyDescent="0.35">
      <c r="A41" s="1" t="s">
        <v>94</v>
      </c>
      <c r="B41" s="2">
        <v>45324</v>
      </c>
      <c r="C41" s="1" t="s">
        <v>17</v>
      </c>
      <c r="D41" s="1" t="s">
        <v>9</v>
      </c>
      <c r="E41">
        <v>1</v>
      </c>
      <c r="F41">
        <v>500000</v>
      </c>
      <c r="G41" s="1" t="s">
        <v>95</v>
      </c>
    </row>
    <row r="42" spans="1:7" x14ac:dyDescent="0.35">
      <c r="A42" s="1" t="s">
        <v>96</v>
      </c>
      <c r="B42" s="2">
        <v>45325</v>
      </c>
      <c r="C42" s="1" t="s">
        <v>12</v>
      </c>
      <c r="D42" s="1" t="s">
        <v>97</v>
      </c>
      <c r="E42">
        <v>1</v>
      </c>
      <c r="F42">
        <v>250000</v>
      </c>
      <c r="G42" s="1" t="s">
        <v>98</v>
      </c>
    </row>
    <row r="43" spans="1:7" x14ac:dyDescent="0.35">
      <c r="A43" s="1" t="s">
        <v>99</v>
      </c>
      <c r="B43" s="2">
        <v>45326</v>
      </c>
      <c r="C43" s="1" t="s">
        <v>8</v>
      </c>
      <c r="D43" s="1" t="s">
        <v>9</v>
      </c>
      <c r="E43">
        <v>3</v>
      </c>
      <c r="F43">
        <v>150000</v>
      </c>
      <c r="G43" s="1" t="s">
        <v>100</v>
      </c>
    </row>
    <row r="44" spans="1:7" x14ac:dyDescent="0.35">
      <c r="A44" s="1" t="s">
        <v>101</v>
      </c>
      <c r="B44" s="2">
        <v>45327</v>
      </c>
      <c r="C44" s="1" t="s">
        <v>24</v>
      </c>
      <c r="D44" s="1" t="s">
        <v>18</v>
      </c>
      <c r="E44">
        <v>5</v>
      </c>
      <c r="F44">
        <v>120000</v>
      </c>
      <c r="G44" s="1" t="s">
        <v>102</v>
      </c>
    </row>
    <row r="45" spans="1:7" x14ac:dyDescent="0.35">
      <c r="A45" s="1" t="s">
        <v>103</v>
      </c>
      <c r="B45" s="2">
        <v>45328</v>
      </c>
      <c r="C45" s="1" t="s">
        <v>30</v>
      </c>
      <c r="D45" s="1" t="s">
        <v>13</v>
      </c>
      <c r="E45">
        <v>20</v>
      </c>
      <c r="F45" s="5"/>
      <c r="G45" s="1" t="s">
        <v>104</v>
      </c>
    </row>
    <row r="46" spans="1:7" x14ac:dyDescent="0.35">
      <c r="A46" s="1" t="s">
        <v>105</v>
      </c>
      <c r="B46" s="2">
        <v>45329</v>
      </c>
      <c r="C46" s="1" t="s">
        <v>17</v>
      </c>
      <c r="D46" s="1" t="s">
        <v>9</v>
      </c>
      <c r="E46">
        <v>2</v>
      </c>
      <c r="F46">
        <v>500000</v>
      </c>
      <c r="G46" s="6" t="s">
        <v>35</v>
      </c>
    </row>
    <row r="47" spans="1:7" x14ac:dyDescent="0.35">
      <c r="A47" s="1" t="s">
        <v>106</v>
      </c>
      <c r="B47" s="2">
        <v>45330</v>
      </c>
      <c r="C47" s="1" t="s">
        <v>12</v>
      </c>
      <c r="D47" s="1" t="s">
        <v>25</v>
      </c>
      <c r="E47">
        <v>2</v>
      </c>
      <c r="F47">
        <v>250000</v>
      </c>
      <c r="G47" s="1" t="s">
        <v>107</v>
      </c>
    </row>
    <row r="48" spans="1:7" x14ac:dyDescent="0.35">
      <c r="A48" s="1" t="s">
        <v>108</v>
      </c>
      <c r="B48" s="2">
        <v>45331</v>
      </c>
      <c r="C48" s="1" t="s">
        <v>8</v>
      </c>
      <c r="D48" s="1" t="s">
        <v>9</v>
      </c>
      <c r="E48">
        <v>4</v>
      </c>
      <c r="F48">
        <v>150000</v>
      </c>
      <c r="G48" s="6" t="s">
        <v>35</v>
      </c>
    </row>
    <row r="49" spans="1:7" x14ac:dyDescent="0.35">
      <c r="A49" s="1" t="s">
        <v>109</v>
      </c>
      <c r="B49" s="2">
        <v>45332</v>
      </c>
      <c r="C49" s="1" t="s">
        <v>24</v>
      </c>
      <c r="D49" s="1" t="s">
        <v>18</v>
      </c>
      <c r="E49">
        <v>1</v>
      </c>
      <c r="F49">
        <v>120000</v>
      </c>
      <c r="G49" s="1" t="s">
        <v>110</v>
      </c>
    </row>
    <row r="50" spans="1:7" x14ac:dyDescent="0.35">
      <c r="A50" s="1" t="s">
        <v>111</v>
      </c>
      <c r="B50" s="2">
        <v>45333</v>
      </c>
      <c r="C50" s="1" t="s">
        <v>30</v>
      </c>
      <c r="D50" s="1" t="s">
        <v>13</v>
      </c>
      <c r="E50">
        <v>15</v>
      </c>
      <c r="F50">
        <v>10000</v>
      </c>
      <c r="G50" s="1" t="s">
        <v>112</v>
      </c>
    </row>
    <row r="51" spans="1:7" x14ac:dyDescent="0.35">
      <c r="A51" s="1" t="s">
        <v>113</v>
      </c>
      <c r="B51" s="2">
        <v>45334</v>
      </c>
      <c r="C51" s="1" t="s">
        <v>17</v>
      </c>
      <c r="D51" s="1" t="s">
        <v>9</v>
      </c>
      <c r="E51">
        <v>1</v>
      </c>
      <c r="F51">
        <v>500000</v>
      </c>
      <c r="G51" s="1" t="s">
        <v>114</v>
      </c>
    </row>
  </sheetData>
  <conditionalFormatting sqref="A1:A51">
    <cfRule type="duplicateValues" dxfId="81" priority="3"/>
  </conditionalFormatting>
  <conditionalFormatting sqref="H52:H53">
    <cfRule type="containsText" dxfId="80" priority="2" operator="containsText" text="N/A">
      <formula>NOT(ISERROR(SEARCH("N/A",H52)))</formula>
    </cfRule>
  </conditionalFormatting>
  <conditionalFormatting sqref="A2:G51">
    <cfRule type="containsText" dxfId="79" priority="1" operator="containsText" text="N/A">
      <formula>NOT(ISERROR(SEARCH("N/A",A2)))</formula>
    </cfRule>
  </conditionalFormatting>
  <pageMargins left="0.7" right="0.7" top="0.75" bottom="0.75" header="0.3" footer="0.3"/>
  <pageSetup paperSize="9" orientation="portrait" r:id="rId2"/>
  <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436BE-05DC-4FFB-BE38-95FBC51A913C}">
  <dimension ref="A1:K50"/>
  <sheetViews>
    <sheetView zoomScaleNormal="100" workbookViewId="0">
      <selection activeCell="I12" sqref="I12:I13"/>
    </sheetView>
  </sheetViews>
  <sheetFormatPr defaultRowHeight="14.5" x14ac:dyDescent="0.35"/>
  <cols>
    <col min="1" max="1" width="13.81640625" bestFit="1" customWidth="1"/>
    <col min="2" max="2" width="10.453125" bestFit="1" customWidth="1"/>
    <col min="3" max="3" width="14.453125" bestFit="1" customWidth="1"/>
    <col min="4" max="4" width="9.26953125" bestFit="1" customWidth="1"/>
    <col min="5" max="5" width="13" bestFit="1" customWidth="1"/>
    <col min="6" max="6" width="14.81640625" bestFit="1" customWidth="1"/>
    <col min="7" max="7" width="17.6328125" bestFit="1" customWidth="1"/>
    <col min="9" max="9" width="9.81640625" customWidth="1"/>
    <col min="10" max="10" width="12.36328125" bestFit="1" customWidth="1"/>
    <col min="11" max="11" width="12.54296875" customWidth="1"/>
  </cols>
  <sheetData>
    <row r="1" spans="1:11" x14ac:dyDescent="0.35">
      <c r="A1" t="s">
        <v>0</v>
      </c>
      <c r="B1" t="s">
        <v>1</v>
      </c>
      <c r="C1" t="s">
        <v>2</v>
      </c>
      <c r="D1" t="s">
        <v>3</v>
      </c>
      <c r="E1" t="s">
        <v>4</v>
      </c>
      <c r="F1" t="s">
        <v>5</v>
      </c>
      <c r="G1" t="s">
        <v>6</v>
      </c>
      <c r="J1" s="3" t="s">
        <v>115</v>
      </c>
    </row>
    <row r="2" spans="1:11" x14ac:dyDescent="0.35">
      <c r="A2" s="1" t="s">
        <v>7</v>
      </c>
      <c r="B2" s="2">
        <v>45292</v>
      </c>
      <c r="C2" s="1" t="s">
        <v>8</v>
      </c>
      <c r="D2" s="1" t="s">
        <v>9</v>
      </c>
      <c r="E2">
        <v>2</v>
      </c>
      <c r="F2">
        <v>150000</v>
      </c>
      <c r="G2" s="1" t="s">
        <v>10</v>
      </c>
      <c r="J2" s="4" t="s">
        <v>13</v>
      </c>
    </row>
    <row r="3" spans="1:11" x14ac:dyDescent="0.35">
      <c r="A3" s="1" t="s">
        <v>11</v>
      </c>
      <c r="B3" s="2">
        <v>45292</v>
      </c>
      <c r="C3" s="1" t="s">
        <v>12</v>
      </c>
      <c r="D3" s="1" t="s">
        <v>13</v>
      </c>
      <c r="E3">
        <v>1</v>
      </c>
      <c r="F3">
        <v>250000</v>
      </c>
      <c r="G3" s="1" t="s">
        <v>14</v>
      </c>
      <c r="J3" s="4" t="s">
        <v>9</v>
      </c>
    </row>
    <row r="4" spans="1:11" x14ac:dyDescent="0.35">
      <c r="A4" s="1" t="s">
        <v>15</v>
      </c>
      <c r="B4" s="2">
        <v>45293</v>
      </c>
      <c r="C4" s="1" t="s">
        <v>8</v>
      </c>
      <c r="D4" s="1" t="s">
        <v>9</v>
      </c>
      <c r="E4">
        <v>5</v>
      </c>
      <c r="F4">
        <v>150000</v>
      </c>
      <c r="G4" s="1" t="s">
        <v>10</v>
      </c>
      <c r="J4" s="4" t="s">
        <v>25</v>
      </c>
    </row>
    <row r="5" spans="1:11" x14ac:dyDescent="0.35">
      <c r="A5" s="1" t="s">
        <v>16</v>
      </c>
      <c r="B5" s="2">
        <v>45293</v>
      </c>
      <c r="C5" s="1" t="s">
        <v>17</v>
      </c>
      <c r="D5" s="1" t="s">
        <v>18</v>
      </c>
      <c r="E5">
        <v>1</v>
      </c>
      <c r="F5">
        <v>500000</v>
      </c>
      <c r="G5" s="1" t="s">
        <v>19</v>
      </c>
      <c r="J5" s="4" t="s">
        <v>18</v>
      </c>
    </row>
    <row r="6" spans="1:11" x14ac:dyDescent="0.35">
      <c r="A6" s="1" t="s">
        <v>20</v>
      </c>
      <c r="B6" s="2">
        <v>45294</v>
      </c>
      <c r="C6" s="1" t="s">
        <v>12</v>
      </c>
      <c r="D6" s="1" t="s">
        <v>9</v>
      </c>
      <c r="E6">
        <v>2</v>
      </c>
      <c r="F6">
        <v>250000</v>
      </c>
      <c r="G6" s="1" t="s">
        <v>21</v>
      </c>
      <c r="J6" s="4" t="s">
        <v>116</v>
      </c>
    </row>
    <row r="7" spans="1:11" x14ac:dyDescent="0.35">
      <c r="A7" s="1" t="s">
        <v>22</v>
      </c>
      <c r="B7" s="2">
        <v>45294</v>
      </c>
      <c r="C7" s="1" t="s">
        <v>12</v>
      </c>
      <c r="D7" s="1" t="s">
        <v>9</v>
      </c>
      <c r="E7">
        <v>2</v>
      </c>
      <c r="F7">
        <v>250000</v>
      </c>
      <c r="G7" s="1" t="s">
        <v>21</v>
      </c>
      <c r="J7" s="4" t="s">
        <v>117</v>
      </c>
    </row>
    <row r="8" spans="1:11" x14ac:dyDescent="0.35">
      <c r="A8" s="1" t="s">
        <v>23</v>
      </c>
      <c r="B8" s="2">
        <v>45295</v>
      </c>
      <c r="C8" s="1" t="s">
        <v>24</v>
      </c>
      <c r="D8" s="1" t="s">
        <v>25</v>
      </c>
      <c r="E8">
        <v>3</v>
      </c>
      <c r="F8" s="5">
        <v>150000</v>
      </c>
      <c r="G8" s="1" t="s">
        <v>26</v>
      </c>
    </row>
    <row r="9" spans="1:11" x14ac:dyDescent="0.35">
      <c r="A9" s="1" t="s">
        <v>27</v>
      </c>
      <c r="B9" s="2">
        <v>45295</v>
      </c>
      <c r="C9" s="1" t="s">
        <v>8</v>
      </c>
      <c r="D9" s="1" t="s">
        <v>13</v>
      </c>
      <c r="E9">
        <v>1</v>
      </c>
      <c r="F9">
        <v>150000</v>
      </c>
      <c r="G9" s="1" t="s">
        <v>28</v>
      </c>
    </row>
    <row r="10" spans="1:11" x14ac:dyDescent="0.35">
      <c r="A10" s="1" t="s">
        <v>29</v>
      </c>
      <c r="B10" s="2">
        <v>45296</v>
      </c>
      <c r="C10" s="1" t="s">
        <v>30</v>
      </c>
      <c r="D10" s="1" t="s">
        <v>18</v>
      </c>
      <c r="E10">
        <v>2</v>
      </c>
      <c r="F10">
        <v>25000</v>
      </c>
      <c r="G10" s="1" t="s">
        <v>31</v>
      </c>
    </row>
    <row r="11" spans="1:11" x14ac:dyDescent="0.35">
      <c r="A11" s="1" t="s">
        <v>32</v>
      </c>
      <c r="B11" s="2">
        <v>45296</v>
      </c>
      <c r="C11" s="1" t="s">
        <v>17</v>
      </c>
      <c r="D11" s="1" t="s">
        <v>9</v>
      </c>
      <c r="E11">
        <v>1</v>
      </c>
      <c r="F11">
        <v>500000</v>
      </c>
      <c r="G11" s="1" t="s">
        <v>33</v>
      </c>
      <c r="I11" s="13"/>
      <c r="J11" s="14" t="s">
        <v>121</v>
      </c>
      <c r="K11" s="14" t="s">
        <v>122</v>
      </c>
    </row>
    <row r="12" spans="1:11" x14ac:dyDescent="0.35">
      <c r="A12" s="1" t="s">
        <v>34</v>
      </c>
      <c r="B12" s="2">
        <v>45297</v>
      </c>
      <c r="C12" s="1" t="s">
        <v>8</v>
      </c>
      <c r="D12" s="1" t="s">
        <v>25</v>
      </c>
      <c r="E12">
        <v>2</v>
      </c>
      <c r="F12">
        <v>150000</v>
      </c>
      <c r="G12" s="6" t="s">
        <v>35</v>
      </c>
      <c r="I12" s="14" t="s">
        <v>119</v>
      </c>
      <c r="J12" s="13">
        <f>AVERAGE(Data_Transaksi35[Jumlah_Beli])</f>
        <v>4.6734693877551017</v>
      </c>
      <c r="K12" s="13">
        <f>AVERAGE(Data_Transaksi35[Harga_Satuan])</f>
        <v>213571.42857142858</v>
      </c>
    </row>
    <row r="13" spans="1:11" x14ac:dyDescent="0.35">
      <c r="A13" s="1" t="s">
        <v>36</v>
      </c>
      <c r="B13" s="2">
        <v>45297</v>
      </c>
      <c r="C13" s="1" t="s">
        <v>12</v>
      </c>
      <c r="D13" s="1" t="s">
        <v>9</v>
      </c>
      <c r="E13">
        <v>1</v>
      </c>
      <c r="F13">
        <v>250000</v>
      </c>
      <c r="G13" s="1" t="s">
        <v>37</v>
      </c>
      <c r="I13" s="14" t="s">
        <v>120</v>
      </c>
      <c r="J13" s="13">
        <f>MEDIAN(Data_Transaksi35[Jumlah_Beli])</f>
        <v>2</v>
      </c>
      <c r="K13" s="13">
        <f>MEDIAN(Data_Transaksi35[Harga_Satuan])</f>
        <v>150000</v>
      </c>
    </row>
    <row r="14" spans="1:11" x14ac:dyDescent="0.35">
      <c r="A14" s="1" t="s">
        <v>38</v>
      </c>
      <c r="B14" s="2">
        <v>45298</v>
      </c>
      <c r="C14" s="1" t="s">
        <v>24</v>
      </c>
      <c r="D14" s="1" t="s">
        <v>18</v>
      </c>
      <c r="E14">
        <v>5</v>
      </c>
      <c r="F14">
        <v>120000</v>
      </c>
      <c r="G14" s="1" t="s">
        <v>39</v>
      </c>
    </row>
    <row r="15" spans="1:11" x14ac:dyDescent="0.35">
      <c r="A15" s="1" t="s">
        <v>40</v>
      </c>
      <c r="B15" s="2">
        <v>45299</v>
      </c>
      <c r="C15" s="1" t="s">
        <v>17</v>
      </c>
      <c r="D15" s="1" t="s">
        <v>13</v>
      </c>
      <c r="E15">
        <v>1</v>
      </c>
      <c r="F15" s="5">
        <v>150000</v>
      </c>
      <c r="G15" s="1" t="s">
        <v>41</v>
      </c>
    </row>
    <row r="16" spans="1:11" x14ac:dyDescent="0.35">
      <c r="A16" s="1" t="s">
        <v>42</v>
      </c>
      <c r="B16" s="2">
        <v>45300</v>
      </c>
      <c r="C16" s="1" t="s">
        <v>30</v>
      </c>
      <c r="D16" s="1" t="s">
        <v>25</v>
      </c>
      <c r="E16">
        <v>20</v>
      </c>
      <c r="F16">
        <v>10000</v>
      </c>
      <c r="G16" s="1" t="s">
        <v>43</v>
      </c>
    </row>
    <row r="17" spans="1:7" x14ac:dyDescent="0.35">
      <c r="A17" s="1" t="s">
        <v>44</v>
      </c>
      <c r="B17" s="2">
        <v>45301</v>
      </c>
      <c r="C17" s="1" t="s">
        <v>8</v>
      </c>
      <c r="D17" s="1" t="s">
        <v>9</v>
      </c>
      <c r="E17">
        <v>3</v>
      </c>
      <c r="F17">
        <v>150000</v>
      </c>
      <c r="G17" s="1" t="s">
        <v>45</v>
      </c>
    </row>
    <row r="18" spans="1:7" x14ac:dyDescent="0.35">
      <c r="A18" s="1" t="s">
        <v>46</v>
      </c>
      <c r="B18" s="2">
        <v>45301</v>
      </c>
      <c r="C18" s="1" t="s">
        <v>8</v>
      </c>
      <c r="D18" s="1" t="s">
        <v>9</v>
      </c>
      <c r="E18">
        <v>3</v>
      </c>
      <c r="F18">
        <v>150000</v>
      </c>
      <c r="G18" s="1" t="s">
        <v>45</v>
      </c>
    </row>
    <row r="19" spans="1:7" x14ac:dyDescent="0.35">
      <c r="A19" s="1" t="s">
        <v>47</v>
      </c>
      <c r="B19" s="2">
        <v>45302</v>
      </c>
      <c r="C19" s="1" t="s">
        <v>12</v>
      </c>
      <c r="D19" s="1" t="s">
        <v>18</v>
      </c>
      <c r="E19">
        <v>2</v>
      </c>
      <c r="F19">
        <v>250000</v>
      </c>
      <c r="G19" s="1" t="s">
        <v>48</v>
      </c>
    </row>
    <row r="20" spans="1:7" x14ac:dyDescent="0.35">
      <c r="A20" s="1" t="s">
        <v>49</v>
      </c>
      <c r="B20" s="2">
        <v>45303</v>
      </c>
      <c r="C20" s="1" t="s">
        <v>17</v>
      </c>
      <c r="D20" s="1" t="s">
        <v>9</v>
      </c>
      <c r="E20">
        <v>1</v>
      </c>
      <c r="F20">
        <v>500000</v>
      </c>
      <c r="G20" s="1" t="s">
        <v>50</v>
      </c>
    </row>
    <row r="21" spans="1:7" x14ac:dyDescent="0.35">
      <c r="A21" s="1" t="s">
        <v>51</v>
      </c>
      <c r="B21" s="2">
        <v>45304</v>
      </c>
      <c r="C21" s="1" t="s">
        <v>24</v>
      </c>
      <c r="D21" s="6" t="s">
        <v>13</v>
      </c>
      <c r="E21">
        <v>4</v>
      </c>
      <c r="F21">
        <v>120000</v>
      </c>
      <c r="G21" s="1" t="s">
        <v>53</v>
      </c>
    </row>
    <row r="22" spans="1:7" x14ac:dyDescent="0.35">
      <c r="A22" s="1" t="s">
        <v>54</v>
      </c>
      <c r="B22" s="2">
        <v>45305</v>
      </c>
      <c r="C22" s="1" t="s">
        <v>8</v>
      </c>
      <c r="D22" s="1" t="s">
        <v>25</v>
      </c>
      <c r="E22">
        <v>1</v>
      </c>
      <c r="F22">
        <v>150000</v>
      </c>
      <c r="G22" s="1" t="s">
        <v>55</v>
      </c>
    </row>
    <row r="23" spans="1:7" x14ac:dyDescent="0.35">
      <c r="A23" s="1" t="s">
        <v>56</v>
      </c>
      <c r="B23" s="2">
        <v>45306</v>
      </c>
      <c r="C23" s="1" t="s">
        <v>30</v>
      </c>
      <c r="D23" s="1" t="s">
        <v>9</v>
      </c>
      <c r="E23">
        <v>15</v>
      </c>
      <c r="F23">
        <v>10000</v>
      </c>
      <c r="G23" s="1" t="s">
        <v>58</v>
      </c>
    </row>
    <row r="24" spans="1:7" x14ac:dyDescent="0.35">
      <c r="A24" s="1" t="s">
        <v>59</v>
      </c>
      <c r="B24" s="2">
        <v>45307</v>
      </c>
      <c r="C24" s="1" t="s">
        <v>12</v>
      </c>
      <c r="D24" s="1" t="s">
        <v>18</v>
      </c>
      <c r="E24">
        <v>1</v>
      </c>
      <c r="F24">
        <v>250000</v>
      </c>
      <c r="G24" s="1" t="s">
        <v>60</v>
      </c>
    </row>
    <row r="25" spans="1:7" x14ac:dyDescent="0.35">
      <c r="A25" s="1" t="s">
        <v>61</v>
      </c>
      <c r="B25" s="2">
        <v>45308</v>
      </c>
      <c r="C25" s="1" t="s">
        <v>17</v>
      </c>
      <c r="D25" s="1" t="s">
        <v>13</v>
      </c>
      <c r="E25">
        <v>2</v>
      </c>
      <c r="F25">
        <v>500000</v>
      </c>
      <c r="G25" s="1" t="s">
        <v>62</v>
      </c>
    </row>
    <row r="26" spans="1:7" x14ac:dyDescent="0.35">
      <c r="A26" s="1" t="s">
        <v>63</v>
      </c>
      <c r="B26" s="2">
        <v>45309</v>
      </c>
      <c r="C26" s="1" t="s">
        <v>8</v>
      </c>
      <c r="D26" s="1" t="s">
        <v>9</v>
      </c>
      <c r="E26">
        <v>5</v>
      </c>
      <c r="F26">
        <v>150000</v>
      </c>
      <c r="G26" s="1" t="s">
        <v>64</v>
      </c>
    </row>
    <row r="27" spans="1:7" x14ac:dyDescent="0.35">
      <c r="A27" s="1" t="s">
        <v>65</v>
      </c>
      <c r="B27" s="2">
        <v>45310</v>
      </c>
      <c r="C27" s="1" t="s">
        <v>24</v>
      </c>
      <c r="D27" s="1" t="s">
        <v>25</v>
      </c>
      <c r="E27">
        <v>2</v>
      </c>
      <c r="F27">
        <v>120000</v>
      </c>
      <c r="G27" s="1" t="s">
        <v>66</v>
      </c>
    </row>
    <row r="28" spans="1:7" x14ac:dyDescent="0.35">
      <c r="A28" s="1" t="s">
        <v>67</v>
      </c>
      <c r="B28" s="2">
        <v>45311</v>
      </c>
      <c r="C28" s="1" t="s">
        <v>12</v>
      </c>
      <c r="D28" s="1" t="s">
        <v>9</v>
      </c>
      <c r="E28">
        <v>1</v>
      </c>
      <c r="F28">
        <v>250000</v>
      </c>
      <c r="G28" s="1" t="s">
        <v>68</v>
      </c>
    </row>
    <row r="29" spans="1:7" x14ac:dyDescent="0.35">
      <c r="A29" s="1" t="s">
        <v>69</v>
      </c>
      <c r="B29" s="2">
        <v>45312</v>
      </c>
      <c r="C29" s="1" t="s">
        <v>30</v>
      </c>
      <c r="D29" s="1" t="s">
        <v>18</v>
      </c>
      <c r="E29">
        <v>25</v>
      </c>
      <c r="F29" s="5">
        <v>150000</v>
      </c>
      <c r="G29" s="1" t="s">
        <v>70</v>
      </c>
    </row>
    <row r="30" spans="1:7" x14ac:dyDescent="0.35">
      <c r="A30" s="1" t="s">
        <v>71</v>
      </c>
      <c r="B30" s="2">
        <v>45313</v>
      </c>
      <c r="C30" s="1" t="s">
        <v>17</v>
      </c>
      <c r="D30" s="6" t="s">
        <v>13</v>
      </c>
      <c r="E30">
        <v>1</v>
      </c>
      <c r="F30">
        <v>500000</v>
      </c>
      <c r="G30" s="1" t="s">
        <v>73</v>
      </c>
    </row>
    <row r="31" spans="1:7" x14ac:dyDescent="0.35">
      <c r="A31" s="1" t="s">
        <v>74</v>
      </c>
      <c r="B31" s="2">
        <v>45314</v>
      </c>
      <c r="C31" s="1" t="s">
        <v>8</v>
      </c>
      <c r="D31" s="1" t="s">
        <v>9</v>
      </c>
      <c r="E31">
        <v>2</v>
      </c>
      <c r="F31">
        <v>150000</v>
      </c>
      <c r="G31" s="1" t="s">
        <v>75</v>
      </c>
    </row>
    <row r="32" spans="1:7" x14ac:dyDescent="0.35">
      <c r="A32" s="1" t="s">
        <v>76</v>
      </c>
      <c r="B32" s="2">
        <v>45315</v>
      </c>
      <c r="C32" s="1" t="s">
        <v>12</v>
      </c>
      <c r="D32" s="1" t="s">
        <v>25</v>
      </c>
      <c r="E32">
        <v>3</v>
      </c>
      <c r="F32">
        <v>250000</v>
      </c>
      <c r="G32" s="1" t="s">
        <v>77</v>
      </c>
    </row>
    <row r="33" spans="1:7" x14ac:dyDescent="0.35">
      <c r="A33" s="1" t="s">
        <v>78</v>
      </c>
      <c r="B33" s="2">
        <v>45316</v>
      </c>
      <c r="C33" s="1" t="s">
        <v>24</v>
      </c>
      <c r="D33" s="6" t="s">
        <v>9</v>
      </c>
      <c r="E33">
        <v>1</v>
      </c>
      <c r="F33">
        <v>120000</v>
      </c>
      <c r="G33" s="1" t="s">
        <v>80</v>
      </c>
    </row>
    <row r="34" spans="1:7" x14ac:dyDescent="0.35">
      <c r="A34" s="1" t="s">
        <v>81</v>
      </c>
      <c r="B34" s="2">
        <v>45317</v>
      </c>
      <c r="C34" s="1" t="s">
        <v>8</v>
      </c>
      <c r="D34" s="1" t="s">
        <v>18</v>
      </c>
      <c r="E34">
        <v>4</v>
      </c>
      <c r="F34">
        <v>150000</v>
      </c>
      <c r="G34" s="1" t="s">
        <v>82</v>
      </c>
    </row>
    <row r="35" spans="1:7" x14ac:dyDescent="0.35">
      <c r="A35" s="1" t="s">
        <v>83</v>
      </c>
      <c r="B35" s="2">
        <v>45318</v>
      </c>
      <c r="C35" s="1" t="s">
        <v>30</v>
      </c>
      <c r="D35" s="1" t="s">
        <v>13</v>
      </c>
      <c r="E35">
        <v>30</v>
      </c>
      <c r="F35">
        <v>10000</v>
      </c>
      <c r="G35" s="1" t="s">
        <v>84</v>
      </c>
    </row>
    <row r="36" spans="1:7" x14ac:dyDescent="0.35">
      <c r="A36" s="1" t="s">
        <v>85</v>
      </c>
      <c r="B36" s="2">
        <v>45319</v>
      </c>
      <c r="C36" s="1" t="s">
        <v>17</v>
      </c>
      <c r="D36" s="1" t="s">
        <v>9</v>
      </c>
      <c r="E36">
        <v>1</v>
      </c>
      <c r="F36">
        <v>500000</v>
      </c>
      <c r="G36" s="1" t="s">
        <v>86</v>
      </c>
    </row>
    <row r="37" spans="1:7" x14ac:dyDescent="0.35">
      <c r="A37" s="1" t="s">
        <v>89</v>
      </c>
      <c r="B37" s="7">
        <v>45320</v>
      </c>
      <c r="C37" s="1" t="s">
        <v>8</v>
      </c>
      <c r="D37" s="1" t="s">
        <v>9</v>
      </c>
      <c r="E37">
        <v>6</v>
      </c>
      <c r="F37">
        <v>150000</v>
      </c>
      <c r="G37" s="1" t="s">
        <v>33</v>
      </c>
    </row>
    <row r="38" spans="1:7" x14ac:dyDescent="0.35">
      <c r="A38" s="1" t="s">
        <v>90</v>
      </c>
      <c r="B38" s="2">
        <v>45322</v>
      </c>
      <c r="C38" s="1" t="s">
        <v>24</v>
      </c>
      <c r="D38" s="1" t="s">
        <v>18</v>
      </c>
      <c r="E38">
        <v>2</v>
      </c>
      <c r="F38">
        <v>120000</v>
      </c>
      <c r="G38" s="1" t="s">
        <v>91</v>
      </c>
    </row>
    <row r="39" spans="1:7" x14ac:dyDescent="0.35">
      <c r="A39" s="1" t="s">
        <v>92</v>
      </c>
      <c r="B39" s="2">
        <v>45323</v>
      </c>
      <c r="C39" s="1" t="s">
        <v>30</v>
      </c>
      <c r="D39" s="1" t="s">
        <v>13</v>
      </c>
      <c r="E39">
        <v>10</v>
      </c>
      <c r="F39">
        <v>10000</v>
      </c>
      <c r="G39" s="1" t="s">
        <v>93</v>
      </c>
    </row>
    <row r="40" spans="1:7" x14ac:dyDescent="0.35">
      <c r="A40" s="1" t="s">
        <v>94</v>
      </c>
      <c r="B40" s="2">
        <v>45324</v>
      </c>
      <c r="C40" s="1" t="s">
        <v>17</v>
      </c>
      <c r="D40" s="1" t="s">
        <v>9</v>
      </c>
      <c r="E40">
        <v>1</v>
      </c>
      <c r="F40">
        <v>500000</v>
      </c>
      <c r="G40" s="1" t="s">
        <v>95</v>
      </c>
    </row>
    <row r="41" spans="1:7" x14ac:dyDescent="0.35">
      <c r="A41" s="1" t="s">
        <v>96</v>
      </c>
      <c r="B41" s="2">
        <v>45325</v>
      </c>
      <c r="C41" s="1" t="s">
        <v>12</v>
      </c>
      <c r="D41" s="1" t="s">
        <v>25</v>
      </c>
      <c r="E41">
        <v>1</v>
      </c>
      <c r="F41">
        <v>250000</v>
      </c>
      <c r="G41" s="1" t="s">
        <v>98</v>
      </c>
    </row>
    <row r="42" spans="1:7" x14ac:dyDescent="0.35">
      <c r="A42" s="1" t="s">
        <v>99</v>
      </c>
      <c r="B42" s="2">
        <v>45326</v>
      </c>
      <c r="C42" s="1" t="s">
        <v>8</v>
      </c>
      <c r="D42" s="1" t="s">
        <v>9</v>
      </c>
      <c r="E42">
        <v>3</v>
      </c>
      <c r="F42">
        <v>150000</v>
      </c>
      <c r="G42" s="1" t="s">
        <v>100</v>
      </c>
    </row>
    <row r="43" spans="1:7" x14ac:dyDescent="0.35">
      <c r="A43" s="1" t="s">
        <v>101</v>
      </c>
      <c r="B43" s="2">
        <v>45327</v>
      </c>
      <c r="C43" s="1" t="s">
        <v>24</v>
      </c>
      <c r="D43" s="1" t="s">
        <v>18</v>
      </c>
      <c r="E43">
        <v>5</v>
      </c>
      <c r="F43">
        <v>120000</v>
      </c>
      <c r="G43" s="1" t="s">
        <v>102</v>
      </c>
    </row>
    <row r="44" spans="1:7" x14ac:dyDescent="0.35">
      <c r="A44" s="1" t="s">
        <v>103</v>
      </c>
      <c r="B44" s="2">
        <v>45328</v>
      </c>
      <c r="C44" s="1" t="s">
        <v>30</v>
      </c>
      <c r="D44" s="1" t="s">
        <v>13</v>
      </c>
      <c r="E44">
        <v>20</v>
      </c>
      <c r="F44" s="5">
        <v>150000</v>
      </c>
      <c r="G44" s="1" t="s">
        <v>104</v>
      </c>
    </row>
    <row r="45" spans="1:7" x14ac:dyDescent="0.35">
      <c r="A45" s="1" t="s">
        <v>105</v>
      </c>
      <c r="B45" s="2">
        <v>45329</v>
      </c>
      <c r="C45" s="1" t="s">
        <v>17</v>
      </c>
      <c r="D45" s="1" t="s">
        <v>9</v>
      </c>
      <c r="E45">
        <v>2</v>
      </c>
      <c r="F45">
        <v>500000</v>
      </c>
      <c r="G45" s="6" t="s">
        <v>35</v>
      </c>
    </row>
    <row r="46" spans="1:7" x14ac:dyDescent="0.35">
      <c r="A46" s="1" t="s">
        <v>106</v>
      </c>
      <c r="B46" s="2">
        <v>45330</v>
      </c>
      <c r="C46" s="1" t="s">
        <v>12</v>
      </c>
      <c r="D46" s="1" t="s">
        <v>25</v>
      </c>
      <c r="E46">
        <v>2</v>
      </c>
      <c r="F46">
        <v>250000</v>
      </c>
      <c r="G46" s="1" t="s">
        <v>107</v>
      </c>
    </row>
    <row r="47" spans="1:7" x14ac:dyDescent="0.35">
      <c r="A47" s="1" t="s">
        <v>108</v>
      </c>
      <c r="B47" s="2">
        <v>45331</v>
      </c>
      <c r="C47" s="1" t="s">
        <v>8</v>
      </c>
      <c r="D47" s="1" t="s">
        <v>9</v>
      </c>
      <c r="E47">
        <v>4</v>
      </c>
      <c r="F47">
        <v>150000</v>
      </c>
      <c r="G47" s="6" t="s">
        <v>35</v>
      </c>
    </row>
    <row r="48" spans="1:7" x14ac:dyDescent="0.35">
      <c r="A48" s="1" t="s">
        <v>109</v>
      </c>
      <c r="B48" s="2">
        <v>45332</v>
      </c>
      <c r="C48" s="1" t="s">
        <v>24</v>
      </c>
      <c r="D48" s="1" t="s">
        <v>18</v>
      </c>
      <c r="E48">
        <v>1</v>
      </c>
      <c r="F48">
        <v>120000</v>
      </c>
      <c r="G48" s="1" t="s">
        <v>110</v>
      </c>
    </row>
    <row r="49" spans="1:7" x14ac:dyDescent="0.35">
      <c r="A49" s="1" t="s">
        <v>111</v>
      </c>
      <c r="B49" s="2">
        <v>45333</v>
      </c>
      <c r="C49" s="1" t="s">
        <v>30</v>
      </c>
      <c r="D49" s="1" t="s">
        <v>13</v>
      </c>
      <c r="E49">
        <v>15</v>
      </c>
      <c r="F49">
        <v>10000</v>
      </c>
      <c r="G49" s="1" t="s">
        <v>112</v>
      </c>
    </row>
    <row r="50" spans="1:7" x14ac:dyDescent="0.35">
      <c r="A50" s="1" t="s">
        <v>113</v>
      </c>
      <c r="B50" s="2">
        <v>45334</v>
      </c>
      <c r="C50" s="1" t="s">
        <v>17</v>
      </c>
      <c r="D50" s="1" t="s">
        <v>9</v>
      </c>
      <c r="E50">
        <v>1</v>
      </c>
      <c r="F50">
        <v>500000</v>
      </c>
      <c r="G50" s="1" t="s">
        <v>114</v>
      </c>
    </row>
  </sheetData>
  <conditionalFormatting sqref="A1:A50">
    <cfRule type="duplicateValues" dxfId="73" priority="4"/>
  </conditionalFormatting>
  <conditionalFormatting sqref="A2:G36 A38:G50 A37 C37:G37">
    <cfRule type="containsText" dxfId="72" priority="2" operator="containsText" text="N/A">
      <formula>NOT(ISERROR(SEARCH("N/A",A2)))</formula>
    </cfRule>
  </conditionalFormatting>
  <conditionalFormatting sqref="B37">
    <cfRule type="containsText" dxfId="71" priority="1" operator="containsText" text="N/A">
      <formula>NOT(ISERROR(SEARCH("N/A",B37)))</formula>
    </cfRule>
  </conditionalFormatting>
  <pageMargins left="0.7" right="0.7" top="0.75" bottom="0.75" header="0.3" footer="0.3"/>
  <pageSetup paperSize="9" orientation="portrait"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A80DF-3122-4F6D-A22F-FE61FDD4DC1E}">
  <dimension ref="A1:S50"/>
  <sheetViews>
    <sheetView zoomScaleNormal="100" workbookViewId="0">
      <selection activeCell="L13" sqref="L13"/>
    </sheetView>
  </sheetViews>
  <sheetFormatPr defaultRowHeight="14.5" x14ac:dyDescent="0.35"/>
  <cols>
    <col min="1" max="1" width="13.81640625" bestFit="1" customWidth="1"/>
    <col min="2" max="2" width="10.453125" bestFit="1" customWidth="1"/>
    <col min="3" max="3" width="14.453125" bestFit="1" customWidth="1"/>
    <col min="4" max="5" width="16.08984375" customWidth="1"/>
    <col min="6" max="6" width="13" bestFit="1" customWidth="1"/>
    <col min="7" max="7" width="14.81640625" bestFit="1" customWidth="1"/>
    <col min="8" max="8" width="17.6328125" bestFit="1" customWidth="1"/>
    <col min="9" max="9" width="18.453125" customWidth="1"/>
    <col min="10" max="10" width="22.90625" customWidth="1"/>
    <col min="11" max="11" width="12.36328125" bestFit="1" customWidth="1"/>
    <col min="14" max="14" width="14.453125" bestFit="1" customWidth="1"/>
    <col min="15" max="15" width="15.1796875" bestFit="1" customWidth="1"/>
    <col min="16" max="16" width="10.08984375" bestFit="1" customWidth="1"/>
    <col min="17" max="17" width="8.453125" bestFit="1" customWidth="1"/>
  </cols>
  <sheetData>
    <row r="1" spans="1:19" x14ac:dyDescent="0.35">
      <c r="A1" t="s">
        <v>0</v>
      </c>
      <c r="B1" t="s">
        <v>1</v>
      </c>
      <c r="C1" t="s">
        <v>2</v>
      </c>
      <c r="D1" t="s">
        <v>134</v>
      </c>
      <c r="E1" t="s">
        <v>124</v>
      </c>
      <c r="F1" t="s">
        <v>3</v>
      </c>
      <c r="G1" t="s">
        <v>4</v>
      </c>
      <c r="H1" t="s">
        <v>135</v>
      </c>
      <c r="I1" t="s">
        <v>5</v>
      </c>
      <c r="J1" t="s">
        <v>6</v>
      </c>
      <c r="P1" t="s">
        <v>2</v>
      </c>
      <c r="Q1" t="s">
        <v>123</v>
      </c>
      <c r="R1" t="s">
        <v>124</v>
      </c>
      <c r="S1" t="s">
        <v>125</v>
      </c>
    </row>
    <row r="2" spans="1:19" x14ac:dyDescent="0.35">
      <c r="A2" s="1" t="s">
        <v>7</v>
      </c>
      <c r="B2" s="2">
        <v>45292</v>
      </c>
      <c r="C2" s="1" t="s">
        <v>8</v>
      </c>
      <c r="D2" s="1" t="str">
        <f>VLOOKUP(Data_Transaksi356[[#This Row],[Kode_Produk]],Master_Produk[#All],2)</f>
        <v>Kemeja Kasual</v>
      </c>
      <c r="E2" s="1" t="str">
        <f>VLOOKUP(Data_Transaksi356[[#This Row],[Kode_Produk]],Master_Produk[#All],3)</f>
        <v>Pakaian</v>
      </c>
      <c r="F2" s="1" t="s">
        <v>9</v>
      </c>
      <c r="G2">
        <v>2</v>
      </c>
      <c r="H2">
        <f>VLOOKUP(Data_Transaksi356[[#This Row],[Kode_Produk]],Master_Produk[#All],4)</f>
        <v>80000</v>
      </c>
      <c r="I2">
        <v>150000</v>
      </c>
      <c r="J2" s="1" t="s">
        <v>10</v>
      </c>
      <c r="P2" s="1" t="s">
        <v>8</v>
      </c>
      <c r="Q2" s="1" t="s">
        <v>126</v>
      </c>
      <c r="R2" s="1" t="s">
        <v>127</v>
      </c>
      <c r="S2">
        <v>80000</v>
      </c>
    </row>
    <row r="3" spans="1:19" x14ac:dyDescent="0.35">
      <c r="A3" s="1" t="s">
        <v>11</v>
      </c>
      <c r="B3" s="2">
        <v>45292</v>
      </c>
      <c r="C3" s="1" t="s">
        <v>12</v>
      </c>
      <c r="D3" s="1" t="str">
        <f>VLOOKUP(Data_Transaksi356[[#This Row],[Kode_Produk]],Master_Produk[#All],2)</f>
        <v>Celana Jeans</v>
      </c>
      <c r="E3" s="1" t="str">
        <f>VLOOKUP(Data_Transaksi356[[#This Row],[Kode_Produk]],Master_Produk[#All],3)</f>
        <v>Pakaian</v>
      </c>
      <c r="F3" s="1" t="s">
        <v>13</v>
      </c>
      <c r="G3">
        <v>1</v>
      </c>
      <c r="H3">
        <f>VLOOKUP(Data_Transaksi356[[#This Row],[Kode_Produk]],Master_Produk[#All],4)</f>
        <v>150000</v>
      </c>
      <c r="I3">
        <v>250000</v>
      </c>
      <c r="J3" s="1" t="s">
        <v>14</v>
      </c>
      <c r="P3" s="1" t="s">
        <v>12</v>
      </c>
      <c r="Q3" s="1" t="s">
        <v>128</v>
      </c>
      <c r="R3" s="1" t="s">
        <v>127</v>
      </c>
      <c r="S3">
        <v>150000</v>
      </c>
    </row>
    <row r="4" spans="1:19" x14ac:dyDescent="0.35">
      <c r="A4" s="1" t="s">
        <v>15</v>
      </c>
      <c r="B4" s="2">
        <v>45293</v>
      </c>
      <c r="C4" s="1" t="s">
        <v>8</v>
      </c>
      <c r="D4" s="1" t="str">
        <f>VLOOKUP(Data_Transaksi356[[#This Row],[Kode_Produk]],Master_Produk[#All],2)</f>
        <v>Kemeja Kasual</v>
      </c>
      <c r="E4" s="1" t="str">
        <f>VLOOKUP(Data_Transaksi356[[#This Row],[Kode_Produk]],Master_Produk[#All],3)</f>
        <v>Pakaian</v>
      </c>
      <c r="F4" s="1" t="s">
        <v>9</v>
      </c>
      <c r="G4">
        <v>5</v>
      </c>
      <c r="H4">
        <f>VLOOKUP(Data_Transaksi356[[#This Row],[Kode_Produk]],Master_Produk[#All],4)</f>
        <v>80000</v>
      </c>
      <c r="I4">
        <v>150000</v>
      </c>
      <c r="J4" s="1" t="s">
        <v>10</v>
      </c>
      <c r="P4" s="1" t="s">
        <v>17</v>
      </c>
      <c r="Q4" s="1" t="s">
        <v>129</v>
      </c>
      <c r="R4" s="1" t="s">
        <v>130</v>
      </c>
      <c r="S4">
        <v>300000</v>
      </c>
    </row>
    <row r="5" spans="1:19" x14ac:dyDescent="0.35">
      <c r="A5" s="1" t="s">
        <v>16</v>
      </c>
      <c r="B5" s="2">
        <v>45293</v>
      </c>
      <c r="C5" s="1" t="s">
        <v>17</v>
      </c>
      <c r="D5" s="1" t="str">
        <f>VLOOKUP(Data_Transaksi356[[#This Row],[Kode_Produk]],Master_Produk[#All],2)</f>
        <v>Sepatu Sneakers</v>
      </c>
      <c r="E5" s="1" t="str">
        <f>VLOOKUP(Data_Transaksi356[[#This Row],[Kode_Produk]],Master_Produk[#All],3)</f>
        <v>Sepatu</v>
      </c>
      <c r="F5" s="1" t="s">
        <v>18</v>
      </c>
      <c r="G5">
        <v>1</v>
      </c>
      <c r="H5">
        <f>VLOOKUP(Data_Transaksi356[[#This Row],[Kode_Produk]],Master_Produk[#All],4)</f>
        <v>300000</v>
      </c>
      <c r="I5">
        <v>500000</v>
      </c>
      <c r="J5" s="1" t="s">
        <v>19</v>
      </c>
      <c r="P5" s="1" t="s">
        <v>24</v>
      </c>
      <c r="Q5" s="1" t="s">
        <v>131</v>
      </c>
      <c r="R5" s="1" t="s">
        <v>132</v>
      </c>
      <c r="S5">
        <v>120000</v>
      </c>
    </row>
    <row r="6" spans="1:19" x14ac:dyDescent="0.35">
      <c r="A6" s="1" t="s">
        <v>20</v>
      </c>
      <c r="B6" s="2">
        <v>45294</v>
      </c>
      <c r="C6" s="1" t="s">
        <v>12</v>
      </c>
      <c r="D6" s="1" t="str">
        <f>VLOOKUP(Data_Transaksi356[[#This Row],[Kode_Produk]],Master_Produk[#All],2)</f>
        <v>Celana Jeans</v>
      </c>
      <c r="E6" s="1" t="str">
        <f>VLOOKUP(Data_Transaksi356[[#This Row],[Kode_Produk]],Master_Produk[#All],3)</f>
        <v>Pakaian</v>
      </c>
      <c r="F6" s="1" t="s">
        <v>9</v>
      </c>
      <c r="G6">
        <v>2</v>
      </c>
      <c r="H6">
        <f>VLOOKUP(Data_Transaksi356[[#This Row],[Kode_Produk]],Master_Produk[#All],4)</f>
        <v>150000</v>
      </c>
      <c r="I6">
        <v>250000</v>
      </c>
      <c r="J6" s="1" t="s">
        <v>21</v>
      </c>
      <c r="P6" s="1" t="s">
        <v>30</v>
      </c>
      <c r="Q6" s="1" t="s">
        <v>133</v>
      </c>
      <c r="R6" s="1" t="s">
        <v>132</v>
      </c>
      <c r="S6">
        <v>5000</v>
      </c>
    </row>
    <row r="7" spans="1:19" x14ac:dyDescent="0.35">
      <c r="A7" s="1" t="s">
        <v>22</v>
      </c>
      <c r="B7" s="2">
        <v>45294</v>
      </c>
      <c r="C7" s="1" t="s">
        <v>12</v>
      </c>
      <c r="D7" s="1" t="str">
        <f>VLOOKUP(Data_Transaksi356[[#This Row],[Kode_Produk]],Master_Produk[#All],2)</f>
        <v>Celana Jeans</v>
      </c>
      <c r="E7" s="1" t="str">
        <f>VLOOKUP(Data_Transaksi356[[#This Row],[Kode_Produk]],Master_Produk[#All],3)</f>
        <v>Pakaian</v>
      </c>
      <c r="F7" s="1" t="s">
        <v>9</v>
      </c>
      <c r="G7">
        <v>2</v>
      </c>
      <c r="H7">
        <f>VLOOKUP(Data_Transaksi356[[#This Row],[Kode_Produk]],Master_Produk[#All],4)</f>
        <v>150000</v>
      </c>
      <c r="I7">
        <v>250000</v>
      </c>
      <c r="J7" s="1" t="s">
        <v>21</v>
      </c>
    </row>
    <row r="8" spans="1:19" x14ac:dyDescent="0.35">
      <c r="A8" s="1" t="s">
        <v>23</v>
      </c>
      <c r="B8" s="2">
        <v>45295</v>
      </c>
      <c r="C8" s="1" t="s">
        <v>24</v>
      </c>
      <c r="D8" s="1" t="str">
        <f>VLOOKUP(Data_Transaksi356[[#This Row],[Kode_Produk]],Master_Produk[#All],2)</f>
        <v>Tas Ransel</v>
      </c>
      <c r="E8" s="1" t="str">
        <f>VLOOKUP(Data_Transaksi356[[#This Row],[Kode_Produk]],Master_Produk[#All],3)</f>
        <v>Aksesoris</v>
      </c>
      <c r="F8" s="1" t="s">
        <v>25</v>
      </c>
      <c r="G8">
        <v>3</v>
      </c>
      <c r="H8">
        <f>VLOOKUP(Data_Transaksi356[[#This Row],[Kode_Produk]],Master_Produk[#All],4)</f>
        <v>120000</v>
      </c>
      <c r="I8" s="5">
        <v>150000</v>
      </c>
      <c r="J8" s="1" t="s">
        <v>26</v>
      </c>
    </row>
    <row r="9" spans="1:19" x14ac:dyDescent="0.35">
      <c r="A9" s="1" t="s">
        <v>27</v>
      </c>
      <c r="B9" s="2">
        <v>45295</v>
      </c>
      <c r="C9" s="1" t="s">
        <v>8</v>
      </c>
      <c r="D9" s="1" t="str">
        <f>VLOOKUP(Data_Transaksi356[[#This Row],[Kode_Produk]],Master_Produk[#All],2)</f>
        <v>Kemeja Kasual</v>
      </c>
      <c r="E9" s="1" t="str">
        <f>VLOOKUP(Data_Transaksi356[[#This Row],[Kode_Produk]],Master_Produk[#All],3)</f>
        <v>Pakaian</v>
      </c>
      <c r="F9" s="1" t="s">
        <v>13</v>
      </c>
      <c r="G9">
        <v>1</v>
      </c>
      <c r="H9">
        <f>VLOOKUP(Data_Transaksi356[[#This Row],[Kode_Produk]],Master_Produk[#All],4)</f>
        <v>80000</v>
      </c>
      <c r="I9">
        <v>150000</v>
      </c>
      <c r="J9" s="1" t="s">
        <v>28</v>
      </c>
    </row>
    <row r="10" spans="1:19" x14ac:dyDescent="0.35">
      <c r="A10" s="1" t="s">
        <v>29</v>
      </c>
      <c r="B10" s="2">
        <v>45296</v>
      </c>
      <c r="C10" s="1" t="s">
        <v>30</v>
      </c>
      <c r="D10" s="1" t="str">
        <f>VLOOKUP(Data_Transaksi356[[#This Row],[Kode_Produk]],Master_Produk[#All],2)</f>
        <v>Kaos Kaki</v>
      </c>
      <c r="E10" s="1" t="str">
        <f>VLOOKUP(Data_Transaksi356[[#This Row],[Kode_Produk]],Master_Produk[#All],3)</f>
        <v>Aksesoris</v>
      </c>
      <c r="F10" s="1" t="s">
        <v>18</v>
      </c>
      <c r="G10">
        <v>2</v>
      </c>
      <c r="H10">
        <f>VLOOKUP(Data_Transaksi356[[#This Row],[Kode_Produk]],Master_Produk[#All],4)</f>
        <v>5000</v>
      </c>
      <c r="I10">
        <v>25000</v>
      </c>
      <c r="J10" s="1" t="s">
        <v>31</v>
      </c>
    </row>
    <row r="11" spans="1:19" x14ac:dyDescent="0.35">
      <c r="A11" s="1" t="s">
        <v>32</v>
      </c>
      <c r="B11" s="2">
        <v>45296</v>
      </c>
      <c r="C11" s="1" t="s">
        <v>17</v>
      </c>
      <c r="D11" s="1" t="str">
        <f>VLOOKUP(Data_Transaksi356[[#This Row],[Kode_Produk]],Master_Produk[#All],2)</f>
        <v>Sepatu Sneakers</v>
      </c>
      <c r="E11" s="1" t="str">
        <f>VLOOKUP(Data_Transaksi356[[#This Row],[Kode_Produk]],Master_Produk[#All],3)</f>
        <v>Sepatu</v>
      </c>
      <c r="F11" s="1" t="s">
        <v>9</v>
      </c>
      <c r="G11">
        <v>1</v>
      </c>
      <c r="H11">
        <f>VLOOKUP(Data_Transaksi356[[#This Row],[Kode_Produk]],Master_Produk[#All],4)</f>
        <v>300000</v>
      </c>
      <c r="I11">
        <v>500000</v>
      </c>
      <c r="J11" s="1" t="s">
        <v>33</v>
      </c>
    </row>
    <row r="12" spans="1:19" x14ac:dyDescent="0.35">
      <c r="A12" s="1" t="s">
        <v>34</v>
      </c>
      <c r="B12" s="2">
        <v>45297</v>
      </c>
      <c r="C12" s="1" t="s">
        <v>8</v>
      </c>
      <c r="D12" s="1" t="str">
        <f>VLOOKUP(Data_Transaksi356[[#This Row],[Kode_Produk]],Master_Produk[#All],2)</f>
        <v>Kemeja Kasual</v>
      </c>
      <c r="E12" s="1" t="str">
        <f>VLOOKUP(Data_Transaksi356[[#This Row],[Kode_Produk]],Master_Produk[#All],3)</f>
        <v>Pakaian</v>
      </c>
      <c r="F12" s="1" t="s">
        <v>25</v>
      </c>
      <c r="G12">
        <v>2</v>
      </c>
      <c r="H12">
        <f>VLOOKUP(Data_Transaksi356[[#This Row],[Kode_Produk]],Master_Produk[#All],4)</f>
        <v>80000</v>
      </c>
      <c r="I12">
        <v>150000</v>
      </c>
      <c r="J12" s="6" t="s">
        <v>35</v>
      </c>
    </row>
    <row r="13" spans="1:19" x14ac:dyDescent="0.35">
      <c r="A13" s="1" t="s">
        <v>36</v>
      </c>
      <c r="B13" s="2">
        <v>45297</v>
      </c>
      <c r="C13" s="1" t="s">
        <v>12</v>
      </c>
      <c r="D13" s="1" t="str">
        <f>VLOOKUP(Data_Transaksi356[[#This Row],[Kode_Produk]],Master_Produk[#All],2)</f>
        <v>Celana Jeans</v>
      </c>
      <c r="E13" s="1" t="str">
        <f>VLOOKUP(Data_Transaksi356[[#This Row],[Kode_Produk]],Master_Produk[#All],3)</f>
        <v>Pakaian</v>
      </c>
      <c r="F13" s="1" t="s">
        <v>9</v>
      </c>
      <c r="G13">
        <v>1</v>
      </c>
      <c r="H13">
        <f>VLOOKUP(Data_Transaksi356[[#This Row],[Kode_Produk]],Master_Produk[#All],4)</f>
        <v>150000</v>
      </c>
      <c r="I13">
        <v>250000</v>
      </c>
      <c r="J13" s="1" t="s">
        <v>37</v>
      </c>
    </row>
    <row r="14" spans="1:19" x14ac:dyDescent="0.35">
      <c r="A14" s="1" t="s">
        <v>38</v>
      </c>
      <c r="B14" s="2">
        <v>45298</v>
      </c>
      <c r="C14" s="1" t="s">
        <v>24</v>
      </c>
      <c r="D14" s="1" t="str">
        <f>VLOOKUP(Data_Transaksi356[[#This Row],[Kode_Produk]],Master_Produk[#All],2)</f>
        <v>Tas Ransel</v>
      </c>
      <c r="E14" s="1" t="str">
        <f>VLOOKUP(Data_Transaksi356[[#This Row],[Kode_Produk]],Master_Produk[#All],3)</f>
        <v>Aksesoris</v>
      </c>
      <c r="F14" s="1" t="s">
        <v>18</v>
      </c>
      <c r="G14">
        <v>5</v>
      </c>
      <c r="H14">
        <f>VLOOKUP(Data_Transaksi356[[#This Row],[Kode_Produk]],Master_Produk[#All],4)</f>
        <v>120000</v>
      </c>
      <c r="I14">
        <v>120000</v>
      </c>
      <c r="J14" s="1" t="s">
        <v>39</v>
      </c>
    </row>
    <row r="15" spans="1:19" x14ac:dyDescent="0.35">
      <c r="A15" s="1" t="s">
        <v>40</v>
      </c>
      <c r="B15" s="2">
        <v>45299</v>
      </c>
      <c r="C15" s="1" t="s">
        <v>17</v>
      </c>
      <c r="D15" s="1" t="str">
        <f>VLOOKUP(Data_Transaksi356[[#This Row],[Kode_Produk]],Master_Produk[#All],2)</f>
        <v>Sepatu Sneakers</v>
      </c>
      <c r="E15" s="1" t="str">
        <f>VLOOKUP(Data_Transaksi356[[#This Row],[Kode_Produk]],Master_Produk[#All],3)</f>
        <v>Sepatu</v>
      </c>
      <c r="F15" s="1" t="s">
        <v>13</v>
      </c>
      <c r="G15">
        <v>1</v>
      </c>
      <c r="H15">
        <f>VLOOKUP(Data_Transaksi356[[#This Row],[Kode_Produk]],Master_Produk[#All],4)</f>
        <v>300000</v>
      </c>
      <c r="I15" s="5">
        <v>150000</v>
      </c>
      <c r="J15" s="1" t="s">
        <v>41</v>
      </c>
    </row>
    <row r="16" spans="1:19" x14ac:dyDescent="0.35">
      <c r="A16" s="1" t="s">
        <v>42</v>
      </c>
      <c r="B16" s="2">
        <v>45300</v>
      </c>
      <c r="C16" s="1" t="s">
        <v>30</v>
      </c>
      <c r="D16" s="1" t="str">
        <f>VLOOKUP(Data_Transaksi356[[#This Row],[Kode_Produk]],Master_Produk[#All],2)</f>
        <v>Kaos Kaki</v>
      </c>
      <c r="E16" s="1" t="str">
        <f>VLOOKUP(Data_Transaksi356[[#This Row],[Kode_Produk]],Master_Produk[#All],3)</f>
        <v>Aksesoris</v>
      </c>
      <c r="F16" s="1" t="s">
        <v>25</v>
      </c>
      <c r="G16">
        <v>20</v>
      </c>
      <c r="H16">
        <f>VLOOKUP(Data_Transaksi356[[#This Row],[Kode_Produk]],Master_Produk[#All],4)</f>
        <v>5000</v>
      </c>
      <c r="I16">
        <v>10000</v>
      </c>
      <c r="J16" s="1" t="s">
        <v>43</v>
      </c>
    </row>
    <row r="17" spans="1:10" x14ac:dyDescent="0.35">
      <c r="A17" s="1" t="s">
        <v>44</v>
      </c>
      <c r="B17" s="2">
        <v>45301</v>
      </c>
      <c r="C17" s="1" t="s">
        <v>8</v>
      </c>
      <c r="D17" s="1" t="str">
        <f>VLOOKUP(Data_Transaksi356[[#This Row],[Kode_Produk]],Master_Produk[#All],2)</f>
        <v>Kemeja Kasual</v>
      </c>
      <c r="E17" s="1" t="str">
        <f>VLOOKUP(Data_Transaksi356[[#This Row],[Kode_Produk]],Master_Produk[#All],3)</f>
        <v>Pakaian</v>
      </c>
      <c r="F17" s="1" t="s">
        <v>9</v>
      </c>
      <c r="G17">
        <v>3</v>
      </c>
      <c r="H17">
        <f>VLOOKUP(Data_Transaksi356[[#This Row],[Kode_Produk]],Master_Produk[#All],4)</f>
        <v>80000</v>
      </c>
      <c r="I17">
        <v>150000</v>
      </c>
      <c r="J17" s="1" t="s">
        <v>45</v>
      </c>
    </row>
    <row r="18" spans="1:10" x14ac:dyDescent="0.35">
      <c r="A18" s="1" t="s">
        <v>46</v>
      </c>
      <c r="B18" s="2">
        <v>45301</v>
      </c>
      <c r="C18" s="1" t="s">
        <v>8</v>
      </c>
      <c r="D18" s="1" t="str">
        <f>VLOOKUP(Data_Transaksi356[[#This Row],[Kode_Produk]],Master_Produk[#All],2)</f>
        <v>Kemeja Kasual</v>
      </c>
      <c r="E18" s="1" t="str">
        <f>VLOOKUP(Data_Transaksi356[[#This Row],[Kode_Produk]],Master_Produk[#All],3)</f>
        <v>Pakaian</v>
      </c>
      <c r="F18" s="1" t="s">
        <v>9</v>
      </c>
      <c r="G18">
        <v>3</v>
      </c>
      <c r="H18">
        <f>VLOOKUP(Data_Transaksi356[[#This Row],[Kode_Produk]],Master_Produk[#All],4)</f>
        <v>80000</v>
      </c>
      <c r="I18">
        <v>150000</v>
      </c>
      <c r="J18" s="1" t="s">
        <v>45</v>
      </c>
    </row>
    <row r="19" spans="1:10" x14ac:dyDescent="0.35">
      <c r="A19" s="1" t="s">
        <v>47</v>
      </c>
      <c r="B19" s="2">
        <v>45302</v>
      </c>
      <c r="C19" s="1" t="s">
        <v>12</v>
      </c>
      <c r="D19" s="1" t="str">
        <f>VLOOKUP(Data_Transaksi356[[#This Row],[Kode_Produk]],Master_Produk[#All],2)</f>
        <v>Celana Jeans</v>
      </c>
      <c r="E19" s="1" t="str">
        <f>VLOOKUP(Data_Transaksi356[[#This Row],[Kode_Produk]],Master_Produk[#All],3)</f>
        <v>Pakaian</v>
      </c>
      <c r="F19" s="1" t="s">
        <v>18</v>
      </c>
      <c r="G19">
        <v>2</v>
      </c>
      <c r="H19">
        <f>VLOOKUP(Data_Transaksi356[[#This Row],[Kode_Produk]],Master_Produk[#All],4)</f>
        <v>150000</v>
      </c>
      <c r="I19">
        <v>250000</v>
      </c>
      <c r="J19" s="1" t="s">
        <v>48</v>
      </c>
    </row>
    <row r="20" spans="1:10" x14ac:dyDescent="0.35">
      <c r="A20" s="1" t="s">
        <v>49</v>
      </c>
      <c r="B20" s="2">
        <v>45303</v>
      </c>
      <c r="C20" s="1" t="s">
        <v>17</v>
      </c>
      <c r="D20" s="1" t="str">
        <f>VLOOKUP(Data_Transaksi356[[#This Row],[Kode_Produk]],Master_Produk[#All],2)</f>
        <v>Sepatu Sneakers</v>
      </c>
      <c r="E20" s="1" t="str">
        <f>VLOOKUP(Data_Transaksi356[[#This Row],[Kode_Produk]],Master_Produk[#All],3)</f>
        <v>Sepatu</v>
      </c>
      <c r="F20" s="1" t="s">
        <v>9</v>
      </c>
      <c r="G20">
        <v>1</v>
      </c>
      <c r="H20">
        <f>VLOOKUP(Data_Transaksi356[[#This Row],[Kode_Produk]],Master_Produk[#All],4)</f>
        <v>300000</v>
      </c>
      <c r="I20">
        <v>500000</v>
      </c>
      <c r="J20" s="1" t="s">
        <v>50</v>
      </c>
    </row>
    <row r="21" spans="1:10" x14ac:dyDescent="0.35">
      <c r="A21" s="1" t="s">
        <v>51</v>
      </c>
      <c r="B21" s="2">
        <v>45304</v>
      </c>
      <c r="C21" s="1" t="s">
        <v>24</v>
      </c>
      <c r="D21" s="1" t="str">
        <f>VLOOKUP(Data_Transaksi356[[#This Row],[Kode_Produk]],Master_Produk[#All],2)</f>
        <v>Tas Ransel</v>
      </c>
      <c r="E21" s="1" t="str">
        <f>VLOOKUP(Data_Transaksi356[[#This Row],[Kode_Produk]],Master_Produk[#All],3)</f>
        <v>Aksesoris</v>
      </c>
      <c r="F21" s="6" t="s">
        <v>13</v>
      </c>
      <c r="G21">
        <v>4</v>
      </c>
      <c r="H21">
        <f>VLOOKUP(Data_Transaksi356[[#This Row],[Kode_Produk]],Master_Produk[#All],4)</f>
        <v>120000</v>
      </c>
      <c r="I21">
        <v>120000</v>
      </c>
      <c r="J21" s="1" t="s">
        <v>53</v>
      </c>
    </row>
    <row r="22" spans="1:10" x14ac:dyDescent="0.35">
      <c r="A22" s="1" t="s">
        <v>54</v>
      </c>
      <c r="B22" s="2">
        <v>45305</v>
      </c>
      <c r="C22" s="1" t="s">
        <v>8</v>
      </c>
      <c r="D22" s="1" t="str">
        <f>VLOOKUP(Data_Transaksi356[[#This Row],[Kode_Produk]],Master_Produk[#All],2)</f>
        <v>Kemeja Kasual</v>
      </c>
      <c r="E22" s="1" t="str">
        <f>VLOOKUP(Data_Transaksi356[[#This Row],[Kode_Produk]],Master_Produk[#All],3)</f>
        <v>Pakaian</v>
      </c>
      <c r="F22" s="1" t="s">
        <v>25</v>
      </c>
      <c r="G22">
        <v>1</v>
      </c>
      <c r="H22">
        <f>VLOOKUP(Data_Transaksi356[[#This Row],[Kode_Produk]],Master_Produk[#All],4)</f>
        <v>80000</v>
      </c>
      <c r="I22">
        <v>150000</v>
      </c>
      <c r="J22" s="1" t="s">
        <v>55</v>
      </c>
    </row>
    <row r="23" spans="1:10" x14ac:dyDescent="0.35">
      <c r="A23" s="1" t="s">
        <v>56</v>
      </c>
      <c r="B23" s="2">
        <v>45306</v>
      </c>
      <c r="C23" s="1" t="s">
        <v>30</v>
      </c>
      <c r="D23" s="1" t="str">
        <f>VLOOKUP(Data_Transaksi356[[#This Row],[Kode_Produk]],Master_Produk[#All],2)</f>
        <v>Kaos Kaki</v>
      </c>
      <c r="E23" s="1" t="str">
        <f>VLOOKUP(Data_Transaksi356[[#This Row],[Kode_Produk]],Master_Produk[#All],3)</f>
        <v>Aksesoris</v>
      </c>
      <c r="F23" s="1" t="s">
        <v>9</v>
      </c>
      <c r="G23">
        <v>15</v>
      </c>
      <c r="H23">
        <f>VLOOKUP(Data_Transaksi356[[#This Row],[Kode_Produk]],Master_Produk[#All],4)</f>
        <v>5000</v>
      </c>
      <c r="I23">
        <v>10000</v>
      </c>
      <c r="J23" s="1" t="s">
        <v>58</v>
      </c>
    </row>
    <row r="24" spans="1:10" x14ac:dyDescent="0.35">
      <c r="A24" s="1" t="s">
        <v>59</v>
      </c>
      <c r="B24" s="2">
        <v>45307</v>
      </c>
      <c r="C24" s="1" t="s">
        <v>12</v>
      </c>
      <c r="D24" s="1" t="str">
        <f>VLOOKUP(Data_Transaksi356[[#This Row],[Kode_Produk]],Master_Produk[#All],2)</f>
        <v>Celana Jeans</v>
      </c>
      <c r="E24" s="1" t="str">
        <f>VLOOKUP(Data_Transaksi356[[#This Row],[Kode_Produk]],Master_Produk[#All],3)</f>
        <v>Pakaian</v>
      </c>
      <c r="F24" s="1" t="s">
        <v>18</v>
      </c>
      <c r="G24">
        <v>1</v>
      </c>
      <c r="H24">
        <f>VLOOKUP(Data_Transaksi356[[#This Row],[Kode_Produk]],Master_Produk[#All],4)</f>
        <v>150000</v>
      </c>
      <c r="I24">
        <v>250000</v>
      </c>
      <c r="J24" s="1" t="s">
        <v>60</v>
      </c>
    </row>
    <row r="25" spans="1:10" x14ac:dyDescent="0.35">
      <c r="A25" s="1" t="s">
        <v>61</v>
      </c>
      <c r="B25" s="2">
        <v>45308</v>
      </c>
      <c r="C25" s="1" t="s">
        <v>17</v>
      </c>
      <c r="D25" s="1" t="str">
        <f>VLOOKUP(Data_Transaksi356[[#This Row],[Kode_Produk]],Master_Produk[#All],2)</f>
        <v>Sepatu Sneakers</v>
      </c>
      <c r="E25" s="1" t="str">
        <f>VLOOKUP(Data_Transaksi356[[#This Row],[Kode_Produk]],Master_Produk[#All],3)</f>
        <v>Sepatu</v>
      </c>
      <c r="F25" s="1" t="s">
        <v>13</v>
      </c>
      <c r="G25">
        <v>2</v>
      </c>
      <c r="H25">
        <f>VLOOKUP(Data_Transaksi356[[#This Row],[Kode_Produk]],Master_Produk[#All],4)</f>
        <v>300000</v>
      </c>
      <c r="I25">
        <v>500000</v>
      </c>
      <c r="J25" s="1" t="s">
        <v>62</v>
      </c>
    </row>
    <row r="26" spans="1:10" x14ac:dyDescent="0.35">
      <c r="A26" s="1" t="s">
        <v>63</v>
      </c>
      <c r="B26" s="2">
        <v>45309</v>
      </c>
      <c r="C26" s="1" t="s">
        <v>8</v>
      </c>
      <c r="D26" s="1" t="str">
        <f>VLOOKUP(Data_Transaksi356[[#This Row],[Kode_Produk]],Master_Produk[#All],2)</f>
        <v>Kemeja Kasual</v>
      </c>
      <c r="E26" s="1" t="str">
        <f>VLOOKUP(Data_Transaksi356[[#This Row],[Kode_Produk]],Master_Produk[#All],3)</f>
        <v>Pakaian</v>
      </c>
      <c r="F26" s="1" t="s">
        <v>9</v>
      </c>
      <c r="G26">
        <v>5</v>
      </c>
      <c r="H26">
        <f>VLOOKUP(Data_Transaksi356[[#This Row],[Kode_Produk]],Master_Produk[#All],4)</f>
        <v>80000</v>
      </c>
      <c r="I26">
        <v>150000</v>
      </c>
      <c r="J26" s="1" t="s">
        <v>64</v>
      </c>
    </row>
    <row r="27" spans="1:10" x14ac:dyDescent="0.35">
      <c r="A27" s="1" t="s">
        <v>65</v>
      </c>
      <c r="B27" s="2">
        <v>45310</v>
      </c>
      <c r="C27" s="1" t="s">
        <v>24</v>
      </c>
      <c r="D27" s="1" t="str">
        <f>VLOOKUP(Data_Transaksi356[[#This Row],[Kode_Produk]],Master_Produk[#All],2)</f>
        <v>Tas Ransel</v>
      </c>
      <c r="E27" s="1" t="str">
        <f>VLOOKUP(Data_Transaksi356[[#This Row],[Kode_Produk]],Master_Produk[#All],3)</f>
        <v>Aksesoris</v>
      </c>
      <c r="F27" s="1" t="s">
        <v>25</v>
      </c>
      <c r="G27">
        <v>2</v>
      </c>
      <c r="H27">
        <f>VLOOKUP(Data_Transaksi356[[#This Row],[Kode_Produk]],Master_Produk[#All],4)</f>
        <v>120000</v>
      </c>
      <c r="I27">
        <v>120000</v>
      </c>
      <c r="J27" s="1" t="s">
        <v>66</v>
      </c>
    </row>
    <row r="28" spans="1:10" x14ac:dyDescent="0.35">
      <c r="A28" s="1" t="s">
        <v>67</v>
      </c>
      <c r="B28" s="2">
        <v>45311</v>
      </c>
      <c r="C28" s="1" t="s">
        <v>12</v>
      </c>
      <c r="D28" s="1" t="str">
        <f>VLOOKUP(Data_Transaksi356[[#This Row],[Kode_Produk]],Master_Produk[#All],2)</f>
        <v>Celana Jeans</v>
      </c>
      <c r="E28" s="1" t="str">
        <f>VLOOKUP(Data_Transaksi356[[#This Row],[Kode_Produk]],Master_Produk[#All],3)</f>
        <v>Pakaian</v>
      </c>
      <c r="F28" s="1" t="s">
        <v>9</v>
      </c>
      <c r="G28">
        <v>1</v>
      </c>
      <c r="H28">
        <f>VLOOKUP(Data_Transaksi356[[#This Row],[Kode_Produk]],Master_Produk[#All],4)</f>
        <v>150000</v>
      </c>
      <c r="I28">
        <v>250000</v>
      </c>
      <c r="J28" s="1" t="s">
        <v>68</v>
      </c>
    </row>
    <row r="29" spans="1:10" x14ac:dyDescent="0.35">
      <c r="A29" s="1" t="s">
        <v>69</v>
      </c>
      <c r="B29" s="2">
        <v>45312</v>
      </c>
      <c r="C29" s="1" t="s">
        <v>30</v>
      </c>
      <c r="D29" s="1" t="str">
        <f>VLOOKUP(Data_Transaksi356[[#This Row],[Kode_Produk]],Master_Produk[#All],2)</f>
        <v>Kaos Kaki</v>
      </c>
      <c r="E29" s="1" t="str">
        <f>VLOOKUP(Data_Transaksi356[[#This Row],[Kode_Produk]],Master_Produk[#All],3)</f>
        <v>Aksesoris</v>
      </c>
      <c r="F29" s="1" t="s">
        <v>18</v>
      </c>
      <c r="G29">
        <v>25</v>
      </c>
      <c r="H29">
        <f>VLOOKUP(Data_Transaksi356[[#This Row],[Kode_Produk]],Master_Produk[#All],4)</f>
        <v>5000</v>
      </c>
      <c r="I29" s="5">
        <v>150000</v>
      </c>
      <c r="J29" s="1" t="s">
        <v>70</v>
      </c>
    </row>
    <row r="30" spans="1:10" x14ac:dyDescent="0.35">
      <c r="A30" s="1" t="s">
        <v>71</v>
      </c>
      <c r="B30" s="2">
        <v>45313</v>
      </c>
      <c r="C30" s="1" t="s">
        <v>17</v>
      </c>
      <c r="D30" s="1" t="str">
        <f>VLOOKUP(Data_Transaksi356[[#This Row],[Kode_Produk]],Master_Produk[#All],2)</f>
        <v>Sepatu Sneakers</v>
      </c>
      <c r="E30" s="1" t="str">
        <f>VLOOKUP(Data_Transaksi356[[#This Row],[Kode_Produk]],Master_Produk[#All],3)</f>
        <v>Sepatu</v>
      </c>
      <c r="F30" s="6" t="s">
        <v>13</v>
      </c>
      <c r="G30">
        <v>1</v>
      </c>
      <c r="H30">
        <f>VLOOKUP(Data_Transaksi356[[#This Row],[Kode_Produk]],Master_Produk[#All],4)</f>
        <v>300000</v>
      </c>
      <c r="I30">
        <v>500000</v>
      </c>
      <c r="J30" s="1" t="s">
        <v>73</v>
      </c>
    </row>
    <row r="31" spans="1:10" x14ac:dyDescent="0.35">
      <c r="A31" s="1" t="s">
        <v>74</v>
      </c>
      <c r="B31" s="2">
        <v>45314</v>
      </c>
      <c r="C31" s="1" t="s">
        <v>8</v>
      </c>
      <c r="D31" s="1" t="str">
        <f>VLOOKUP(Data_Transaksi356[[#This Row],[Kode_Produk]],Master_Produk[#All],2)</f>
        <v>Kemeja Kasual</v>
      </c>
      <c r="E31" s="1" t="str">
        <f>VLOOKUP(Data_Transaksi356[[#This Row],[Kode_Produk]],Master_Produk[#All],3)</f>
        <v>Pakaian</v>
      </c>
      <c r="F31" s="1" t="s">
        <v>9</v>
      </c>
      <c r="G31">
        <v>2</v>
      </c>
      <c r="H31">
        <f>VLOOKUP(Data_Transaksi356[[#This Row],[Kode_Produk]],Master_Produk[#All],4)</f>
        <v>80000</v>
      </c>
      <c r="I31">
        <v>150000</v>
      </c>
      <c r="J31" s="1" t="s">
        <v>75</v>
      </c>
    </row>
    <row r="32" spans="1:10" x14ac:dyDescent="0.35">
      <c r="A32" s="1" t="s">
        <v>76</v>
      </c>
      <c r="B32" s="2">
        <v>45315</v>
      </c>
      <c r="C32" s="1" t="s">
        <v>12</v>
      </c>
      <c r="D32" s="1" t="str">
        <f>VLOOKUP(Data_Transaksi356[[#This Row],[Kode_Produk]],Master_Produk[#All],2)</f>
        <v>Celana Jeans</v>
      </c>
      <c r="E32" s="1" t="str">
        <f>VLOOKUP(Data_Transaksi356[[#This Row],[Kode_Produk]],Master_Produk[#All],3)</f>
        <v>Pakaian</v>
      </c>
      <c r="F32" s="1" t="s">
        <v>25</v>
      </c>
      <c r="G32">
        <v>3</v>
      </c>
      <c r="H32">
        <f>VLOOKUP(Data_Transaksi356[[#This Row],[Kode_Produk]],Master_Produk[#All],4)</f>
        <v>150000</v>
      </c>
      <c r="I32">
        <v>250000</v>
      </c>
      <c r="J32" s="1" t="s">
        <v>77</v>
      </c>
    </row>
    <row r="33" spans="1:10" x14ac:dyDescent="0.35">
      <c r="A33" s="1" t="s">
        <v>78</v>
      </c>
      <c r="B33" s="2">
        <v>45316</v>
      </c>
      <c r="C33" s="1" t="s">
        <v>24</v>
      </c>
      <c r="D33" s="1" t="str">
        <f>VLOOKUP(Data_Transaksi356[[#This Row],[Kode_Produk]],Master_Produk[#All],2)</f>
        <v>Tas Ransel</v>
      </c>
      <c r="E33" s="1" t="str">
        <f>VLOOKUP(Data_Transaksi356[[#This Row],[Kode_Produk]],Master_Produk[#All],3)</f>
        <v>Aksesoris</v>
      </c>
      <c r="F33" s="6" t="s">
        <v>9</v>
      </c>
      <c r="G33">
        <v>1</v>
      </c>
      <c r="H33">
        <f>VLOOKUP(Data_Transaksi356[[#This Row],[Kode_Produk]],Master_Produk[#All],4)</f>
        <v>120000</v>
      </c>
      <c r="I33">
        <v>120000</v>
      </c>
      <c r="J33" s="1" t="s">
        <v>80</v>
      </c>
    </row>
    <row r="34" spans="1:10" x14ac:dyDescent="0.35">
      <c r="A34" s="1" t="s">
        <v>81</v>
      </c>
      <c r="B34" s="2">
        <v>45317</v>
      </c>
      <c r="C34" s="1" t="s">
        <v>8</v>
      </c>
      <c r="D34" s="1" t="str">
        <f>VLOOKUP(Data_Transaksi356[[#This Row],[Kode_Produk]],Master_Produk[#All],2)</f>
        <v>Kemeja Kasual</v>
      </c>
      <c r="E34" s="1" t="str">
        <f>VLOOKUP(Data_Transaksi356[[#This Row],[Kode_Produk]],Master_Produk[#All],3)</f>
        <v>Pakaian</v>
      </c>
      <c r="F34" s="1" t="s">
        <v>18</v>
      </c>
      <c r="G34">
        <v>4</v>
      </c>
      <c r="H34">
        <f>VLOOKUP(Data_Transaksi356[[#This Row],[Kode_Produk]],Master_Produk[#All],4)</f>
        <v>80000</v>
      </c>
      <c r="I34">
        <v>150000</v>
      </c>
      <c r="J34" s="1" t="s">
        <v>82</v>
      </c>
    </row>
    <row r="35" spans="1:10" x14ac:dyDescent="0.35">
      <c r="A35" s="1" t="s">
        <v>83</v>
      </c>
      <c r="B35" s="2">
        <v>45318</v>
      </c>
      <c r="C35" s="1" t="s">
        <v>30</v>
      </c>
      <c r="D35" s="1" t="str">
        <f>VLOOKUP(Data_Transaksi356[[#This Row],[Kode_Produk]],Master_Produk[#All],2)</f>
        <v>Kaos Kaki</v>
      </c>
      <c r="E35" s="1" t="str">
        <f>VLOOKUP(Data_Transaksi356[[#This Row],[Kode_Produk]],Master_Produk[#All],3)</f>
        <v>Aksesoris</v>
      </c>
      <c r="F35" s="1" t="s">
        <v>13</v>
      </c>
      <c r="G35">
        <v>30</v>
      </c>
      <c r="H35">
        <f>VLOOKUP(Data_Transaksi356[[#This Row],[Kode_Produk]],Master_Produk[#All],4)</f>
        <v>5000</v>
      </c>
      <c r="I35">
        <v>10000</v>
      </c>
      <c r="J35" s="1" t="s">
        <v>84</v>
      </c>
    </row>
    <row r="36" spans="1:10" x14ac:dyDescent="0.35">
      <c r="A36" s="1" t="s">
        <v>85</v>
      </c>
      <c r="B36" s="2">
        <v>45319</v>
      </c>
      <c r="C36" s="1" t="s">
        <v>17</v>
      </c>
      <c r="D36" s="1" t="str">
        <f>VLOOKUP(Data_Transaksi356[[#This Row],[Kode_Produk]],Master_Produk[#All],2)</f>
        <v>Sepatu Sneakers</v>
      </c>
      <c r="E36" s="1" t="str">
        <f>VLOOKUP(Data_Transaksi356[[#This Row],[Kode_Produk]],Master_Produk[#All],3)</f>
        <v>Sepatu</v>
      </c>
      <c r="F36" s="1" t="s">
        <v>9</v>
      </c>
      <c r="G36">
        <v>1</v>
      </c>
      <c r="H36">
        <f>VLOOKUP(Data_Transaksi356[[#This Row],[Kode_Produk]],Master_Produk[#All],4)</f>
        <v>300000</v>
      </c>
      <c r="I36">
        <v>500000</v>
      </c>
      <c r="J36" s="1" t="s">
        <v>86</v>
      </c>
    </row>
    <row r="37" spans="1:10" x14ac:dyDescent="0.35">
      <c r="A37" s="1" t="s">
        <v>89</v>
      </c>
      <c r="B37" s="7">
        <v>45320</v>
      </c>
      <c r="C37" s="1" t="s">
        <v>8</v>
      </c>
      <c r="D37" s="1" t="str">
        <f>VLOOKUP(Data_Transaksi356[[#This Row],[Kode_Produk]],Master_Produk[#All],2)</f>
        <v>Kemeja Kasual</v>
      </c>
      <c r="E37" s="1" t="str">
        <f>VLOOKUP(Data_Transaksi356[[#This Row],[Kode_Produk]],Master_Produk[#All],3)</f>
        <v>Pakaian</v>
      </c>
      <c r="F37" s="1" t="s">
        <v>9</v>
      </c>
      <c r="G37">
        <v>6</v>
      </c>
      <c r="H37">
        <f>VLOOKUP(Data_Transaksi356[[#This Row],[Kode_Produk]],Master_Produk[#All],4)</f>
        <v>80000</v>
      </c>
      <c r="I37">
        <v>150000</v>
      </c>
      <c r="J37" s="1" t="s">
        <v>33</v>
      </c>
    </row>
    <row r="38" spans="1:10" x14ac:dyDescent="0.35">
      <c r="A38" s="1" t="s">
        <v>90</v>
      </c>
      <c r="B38" s="2">
        <v>45322</v>
      </c>
      <c r="C38" s="1" t="s">
        <v>24</v>
      </c>
      <c r="D38" s="1" t="str">
        <f>VLOOKUP(Data_Transaksi356[[#This Row],[Kode_Produk]],Master_Produk[#All],2)</f>
        <v>Tas Ransel</v>
      </c>
      <c r="E38" s="1" t="str">
        <f>VLOOKUP(Data_Transaksi356[[#This Row],[Kode_Produk]],Master_Produk[#All],3)</f>
        <v>Aksesoris</v>
      </c>
      <c r="F38" s="1" t="s">
        <v>18</v>
      </c>
      <c r="G38">
        <v>2</v>
      </c>
      <c r="H38">
        <f>VLOOKUP(Data_Transaksi356[[#This Row],[Kode_Produk]],Master_Produk[#All],4)</f>
        <v>120000</v>
      </c>
      <c r="I38">
        <v>120000</v>
      </c>
      <c r="J38" s="1" t="s">
        <v>91</v>
      </c>
    </row>
    <row r="39" spans="1:10" x14ac:dyDescent="0.35">
      <c r="A39" s="1" t="s">
        <v>92</v>
      </c>
      <c r="B39" s="2">
        <v>45323</v>
      </c>
      <c r="C39" s="1" t="s">
        <v>30</v>
      </c>
      <c r="D39" s="1" t="str">
        <f>VLOOKUP(Data_Transaksi356[[#This Row],[Kode_Produk]],Master_Produk[#All],2)</f>
        <v>Kaos Kaki</v>
      </c>
      <c r="E39" s="1" t="str">
        <f>VLOOKUP(Data_Transaksi356[[#This Row],[Kode_Produk]],Master_Produk[#All],3)</f>
        <v>Aksesoris</v>
      </c>
      <c r="F39" s="1" t="s">
        <v>13</v>
      </c>
      <c r="G39">
        <v>10</v>
      </c>
      <c r="H39">
        <f>VLOOKUP(Data_Transaksi356[[#This Row],[Kode_Produk]],Master_Produk[#All],4)</f>
        <v>5000</v>
      </c>
      <c r="I39">
        <v>10000</v>
      </c>
      <c r="J39" s="1" t="s">
        <v>93</v>
      </c>
    </row>
    <row r="40" spans="1:10" x14ac:dyDescent="0.35">
      <c r="A40" s="1" t="s">
        <v>94</v>
      </c>
      <c r="B40" s="2">
        <v>45324</v>
      </c>
      <c r="C40" s="1" t="s">
        <v>17</v>
      </c>
      <c r="D40" s="1" t="str">
        <f>VLOOKUP(Data_Transaksi356[[#This Row],[Kode_Produk]],Master_Produk[#All],2)</f>
        <v>Sepatu Sneakers</v>
      </c>
      <c r="E40" s="1" t="str">
        <f>VLOOKUP(Data_Transaksi356[[#This Row],[Kode_Produk]],Master_Produk[#All],3)</f>
        <v>Sepatu</v>
      </c>
      <c r="F40" s="1" t="s">
        <v>9</v>
      </c>
      <c r="G40">
        <v>1</v>
      </c>
      <c r="H40">
        <f>VLOOKUP(Data_Transaksi356[[#This Row],[Kode_Produk]],Master_Produk[#All],4)</f>
        <v>300000</v>
      </c>
      <c r="I40">
        <v>500000</v>
      </c>
      <c r="J40" s="1" t="s">
        <v>95</v>
      </c>
    </row>
    <row r="41" spans="1:10" x14ac:dyDescent="0.35">
      <c r="A41" s="1" t="s">
        <v>96</v>
      </c>
      <c r="B41" s="2">
        <v>45325</v>
      </c>
      <c r="C41" s="1" t="s">
        <v>12</v>
      </c>
      <c r="D41" s="1" t="str">
        <f>VLOOKUP(Data_Transaksi356[[#This Row],[Kode_Produk]],Master_Produk[#All],2)</f>
        <v>Celana Jeans</v>
      </c>
      <c r="E41" s="1" t="str">
        <f>VLOOKUP(Data_Transaksi356[[#This Row],[Kode_Produk]],Master_Produk[#All],3)</f>
        <v>Pakaian</v>
      </c>
      <c r="F41" s="1" t="s">
        <v>25</v>
      </c>
      <c r="G41">
        <v>1</v>
      </c>
      <c r="H41">
        <f>VLOOKUP(Data_Transaksi356[[#This Row],[Kode_Produk]],Master_Produk[#All],4)</f>
        <v>150000</v>
      </c>
      <c r="I41">
        <v>250000</v>
      </c>
      <c r="J41" s="1" t="s">
        <v>98</v>
      </c>
    </row>
    <row r="42" spans="1:10" x14ac:dyDescent="0.35">
      <c r="A42" s="1" t="s">
        <v>99</v>
      </c>
      <c r="B42" s="2">
        <v>45326</v>
      </c>
      <c r="C42" s="1" t="s">
        <v>8</v>
      </c>
      <c r="D42" s="1" t="str">
        <f>VLOOKUP(Data_Transaksi356[[#This Row],[Kode_Produk]],Master_Produk[#All],2)</f>
        <v>Kemeja Kasual</v>
      </c>
      <c r="E42" s="1" t="str">
        <f>VLOOKUP(Data_Transaksi356[[#This Row],[Kode_Produk]],Master_Produk[#All],3)</f>
        <v>Pakaian</v>
      </c>
      <c r="F42" s="1" t="s">
        <v>9</v>
      </c>
      <c r="G42">
        <v>3</v>
      </c>
      <c r="H42">
        <f>VLOOKUP(Data_Transaksi356[[#This Row],[Kode_Produk]],Master_Produk[#All],4)</f>
        <v>80000</v>
      </c>
      <c r="I42">
        <v>150000</v>
      </c>
      <c r="J42" s="1" t="s">
        <v>100</v>
      </c>
    </row>
    <row r="43" spans="1:10" x14ac:dyDescent="0.35">
      <c r="A43" s="1" t="s">
        <v>101</v>
      </c>
      <c r="B43" s="2">
        <v>45327</v>
      </c>
      <c r="C43" s="1" t="s">
        <v>24</v>
      </c>
      <c r="D43" s="1" t="str">
        <f>VLOOKUP(Data_Transaksi356[[#This Row],[Kode_Produk]],Master_Produk[#All],2)</f>
        <v>Tas Ransel</v>
      </c>
      <c r="E43" s="1" t="str">
        <f>VLOOKUP(Data_Transaksi356[[#This Row],[Kode_Produk]],Master_Produk[#All],3)</f>
        <v>Aksesoris</v>
      </c>
      <c r="F43" s="1" t="s">
        <v>18</v>
      </c>
      <c r="G43">
        <v>5</v>
      </c>
      <c r="H43">
        <f>VLOOKUP(Data_Transaksi356[[#This Row],[Kode_Produk]],Master_Produk[#All],4)</f>
        <v>120000</v>
      </c>
      <c r="I43">
        <v>120000</v>
      </c>
      <c r="J43" s="1" t="s">
        <v>102</v>
      </c>
    </row>
    <row r="44" spans="1:10" x14ac:dyDescent="0.35">
      <c r="A44" s="1" t="s">
        <v>103</v>
      </c>
      <c r="B44" s="2">
        <v>45328</v>
      </c>
      <c r="C44" s="1" t="s">
        <v>30</v>
      </c>
      <c r="D44" s="1" t="str">
        <f>VLOOKUP(Data_Transaksi356[[#This Row],[Kode_Produk]],Master_Produk[#All],2)</f>
        <v>Kaos Kaki</v>
      </c>
      <c r="E44" s="1" t="str">
        <f>VLOOKUP(Data_Transaksi356[[#This Row],[Kode_Produk]],Master_Produk[#All],3)</f>
        <v>Aksesoris</v>
      </c>
      <c r="F44" s="1" t="s">
        <v>13</v>
      </c>
      <c r="G44">
        <v>20</v>
      </c>
      <c r="H44">
        <f>VLOOKUP(Data_Transaksi356[[#This Row],[Kode_Produk]],Master_Produk[#All],4)</f>
        <v>5000</v>
      </c>
      <c r="I44" s="5">
        <v>150000</v>
      </c>
      <c r="J44" s="1" t="s">
        <v>104</v>
      </c>
    </row>
    <row r="45" spans="1:10" x14ac:dyDescent="0.35">
      <c r="A45" s="1" t="s">
        <v>105</v>
      </c>
      <c r="B45" s="2">
        <v>45329</v>
      </c>
      <c r="C45" s="1" t="s">
        <v>17</v>
      </c>
      <c r="D45" s="1" t="str">
        <f>VLOOKUP(Data_Transaksi356[[#This Row],[Kode_Produk]],Master_Produk[#All],2)</f>
        <v>Sepatu Sneakers</v>
      </c>
      <c r="E45" s="1" t="str">
        <f>VLOOKUP(Data_Transaksi356[[#This Row],[Kode_Produk]],Master_Produk[#All],3)</f>
        <v>Sepatu</v>
      </c>
      <c r="F45" s="1" t="s">
        <v>9</v>
      </c>
      <c r="G45">
        <v>2</v>
      </c>
      <c r="H45">
        <f>VLOOKUP(Data_Transaksi356[[#This Row],[Kode_Produk]],Master_Produk[#All],4)</f>
        <v>300000</v>
      </c>
      <c r="I45">
        <v>500000</v>
      </c>
      <c r="J45" s="6" t="s">
        <v>35</v>
      </c>
    </row>
    <row r="46" spans="1:10" x14ac:dyDescent="0.35">
      <c r="A46" s="1" t="s">
        <v>106</v>
      </c>
      <c r="B46" s="2">
        <v>45330</v>
      </c>
      <c r="C46" s="1" t="s">
        <v>12</v>
      </c>
      <c r="D46" s="1" t="str">
        <f>VLOOKUP(Data_Transaksi356[[#This Row],[Kode_Produk]],Master_Produk[#All],2)</f>
        <v>Celana Jeans</v>
      </c>
      <c r="E46" s="1" t="str">
        <f>VLOOKUP(Data_Transaksi356[[#This Row],[Kode_Produk]],Master_Produk[#All],3)</f>
        <v>Pakaian</v>
      </c>
      <c r="F46" s="1" t="s">
        <v>25</v>
      </c>
      <c r="G46">
        <v>2</v>
      </c>
      <c r="H46">
        <f>VLOOKUP(Data_Transaksi356[[#This Row],[Kode_Produk]],Master_Produk[#All],4)</f>
        <v>150000</v>
      </c>
      <c r="I46">
        <v>250000</v>
      </c>
      <c r="J46" s="1" t="s">
        <v>107</v>
      </c>
    </row>
    <row r="47" spans="1:10" x14ac:dyDescent="0.35">
      <c r="A47" s="1" t="s">
        <v>108</v>
      </c>
      <c r="B47" s="2">
        <v>45331</v>
      </c>
      <c r="C47" s="1" t="s">
        <v>8</v>
      </c>
      <c r="D47" s="1" t="str">
        <f>VLOOKUP(Data_Transaksi356[[#This Row],[Kode_Produk]],Master_Produk[#All],2)</f>
        <v>Kemeja Kasual</v>
      </c>
      <c r="E47" s="1" t="str">
        <f>VLOOKUP(Data_Transaksi356[[#This Row],[Kode_Produk]],Master_Produk[#All],3)</f>
        <v>Pakaian</v>
      </c>
      <c r="F47" s="1" t="s">
        <v>9</v>
      </c>
      <c r="G47">
        <v>4</v>
      </c>
      <c r="H47">
        <f>VLOOKUP(Data_Transaksi356[[#This Row],[Kode_Produk]],Master_Produk[#All],4)</f>
        <v>80000</v>
      </c>
      <c r="I47">
        <v>150000</v>
      </c>
      <c r="J47" s="6" t="s">
        <v>35</v>
      </c>
    </row>
    <row r="48" spans="1:10" x14ac:dyDescent="0.35">
      <c r="A48" s="1" t="s">
        <v>109</v>
      </c>
      <c r="B48" s="2">
        <v>45332</v>
      </c>
      <c r="C48" s="1" t="s">
        <v>24</v>
      </c>
      <c r="D48" s="1" t="str">
        <f>VLOOKUP(Data_Transaksi356[[#This Row],[Kode_Produk]],Master_Produk[#All],2)</f>
        <v>Tas Ransel</v>
      </c>
      <c r="E48" s="1" t="str">
        <f>VLOOKUP(Data_Transaksi356[[#This Row],[Kode_Produk]],Master_Produk[#All],3)</f>
        <v>Aksesoris</v>
      </c>
      <c r="F48" s="1" t="s">
        <v>18</v>
      </c>
      <c r="G48">
        <v>1</v>
      </c>
      <c r="H48">
        <f>VLOOKUP(Data_Transaksi356[[#This Row],[Kode_Produk]],Master_Produk[#All],4)</f>
        <v>120000</v>
      </c>
      <c r="I48">
        <v>120000</v>
      </c>
      <c r="J48" s="1" t="s">
        <v>110</v>
      </c>
    </row>
    <row r="49" spans="1:10" x14ac:dyDescent="0.35">
      <c r="A49" s="1" t="s">
        <v>111</v>
      </c>
      <c r="B49" s="2">
        <v>45333</v>
      </c>
      <c r="C49" s="1" t="s">
        <v>30</v>
      </c>
      <c r="D49" s="1" t="str">
        <f>VLOOKUP(Data_Transaksi356[[#This Row],[Kode_Produk]],Master_Produk[#All],2)</f>
        <v>Kaos Kaki</v>
      </c>
      <c r="E49" s="1" t="str">
        <f>VLOOKUP(Data_Transaksi356[[#This Row],[Kode_Produk]],Master_Produk[#All],3)</f>
        <v>Aksesoris</v>
      </c>
      <c r="F49" s="1" t="s">
        <v>13</v>
      </c>
      <c r="G49">
        <v>15</v>
      </c>
      <c r="H49">
        <f>VLOOKUP(Data_Transaksi356[[#This Row],[Kode_Produk]],Master_Produk[#All],4)</f>
        <v>5000</v>
      </c>
      <c r="I49">
        <v>10000</v>
      </c>
      <c r="J49" s="1" t="s">
        <v>112</v>
      </c>
    </row>
    <row r="50" spans="1:10" x14ac:dyDescent="0.35">
      <c r="A50" s="1" t="s">
        <v>113</v>
      </c>
      <c r="B50" s="2">
        <v>45334</v>
      </c>
      <c r="C50" s="1" t="s">
        <v>17</v>
      </c>
      <c r="D50" s="1" t="str">
        <f>VLOOKUP(Data_Transaksi356[[#This Row],[Kode_Produk]],Master_Produk[#All],2)</f>
        <v>Sepatu Sneakers</v>
      </c>
      <c r="E50" s="1" t="str">
        <f>VLOOKUP(Data_Transaksi356[[#This Row],[Kode_Produk]],Master_Produk[#All],3)</f>
        <v>Sepatu</v>
      </c>
      <c r="F50" s="1" t="s">
        <v>9</v>
      </c>
      <c r="G50">
        <v>1</v>
      </c>
      <c r="H50">
        <f>VLOOKUP(Data_Transaksi356[[#This Row],[Kode_Produk]],Master_Produk[#All],4)</f>
        <v>300000</v>
      </c>
      <c r="I50">
        <v>500000</v>
      </c>
      <c r="J50" s="1" t="s">
        <v>114</v>
      </c>
    </row>
  </sheetData>
  <conditionalFormatting sqref="A1:A50">
    <cfRule type="duplicateValues" dxfId="65" priority="2"/>
  </conditionalFormatting>
  <conditionalFormatting sqref="A2:J50">
    <cfRule type="containsText" dxfId="64" priority="1" operator="containsText" text="N/A">
      <formula>NOT(ISERROR(SEARCH("N/A",A2)))</formula>
    </cfRule>
  </conditionalFormatting>
  <pageMargins left="0.7" right="0.7" top="0.75" bottom="0.75" header="0.3" footer="0.3"/>
  <pageSetup paperSize="9"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169E-276E-4A2F-ACE0-90236CFCFD81}">
  <dimension ref="A1:V50"/>
  <sheetViews>
    <sheetView topLeftCell="J20" zoomScaleNormal="100" workbookViewId="0">
      <selection activeCell="N12" sqref="N12"/>
    </sheetView>
  </sheetViews>
  <sheetFormatPr defaultRowHeight="14.5" x14ac:dyDescent="0.35"/>
  <cols>
    <col min="1" max="1" width="13.81640625" bestFit="1" customWidth="1"/>
    <col min="2" max="2" width="10.453125" bestFit="1" customWidth="1"/>
    <col min="3" max="3" width="14.453125" bestFit="1" customWidth="1"/>
    <col min="4" max="5" width="16.08984375" customWidth="1"/>
    <col min="6" max="6" width="13" bestFit="1" customWidth="1"/>
    <col min="7" max="7" width="14.81640625" bestFit="1" customWidth="1"/>
    <col min="8" max="8" width="17.6328125" bestFit="1" customWidth="1"/>
    <col min="9" max="9" width="18.453125" customWidth="1"/>
    <col min="10" max="10" width="22.90625" customWidth="1"/>
    <col min="11" max="11" width="12.453125" style="8" bestFit="1" customWidth="1"/>
    <col min="12" max="12" width="9.453125" style="8" bestFit="1" customWidth="1"/>
    <col min="13" max="13" width="10.90625" style="8" bestFit="1" customWidth="1"/>
    <col min="14" max="14" width="14.453125" bestFit="1" customWidth="1"/>
    <col min="15" max="15" width="15.1796875" bestFit="1" customWidth="1"/>
    <col min="16" max="16" width="10.08984375" bestFit="1" customWidth="1"/>
    <col min="17" max="17" width="8.453125" bestFit="1" customWidth="1"/>
  </cols>
  <sheetData>
    <row r="1" spans="1:22" x14ac:dyDescent="0.35">
      <c r="A1" t="s">
        <v>0</v>
      </c>
      <c r="B1" t="s">
        <v>1</v>
      </c>
      <c r="C1" t="s">
        <v>2</v>
      </c>
      <c r="D1" t="s">
        <v>134</v>
      </c>
      <c r="E1" t="s">
        <v>124</v>
      </c>
      <c r="F1" t="s">
        <v>3</v>
      </c>
      <c r="G1" t="s">
        <v>4</v>
      </c>
      <c r="H1" t="s">
        <v>135</v>
      </c>
      <c r="I1" t="s">
        <v>5</v>
      </c>
      <c r="J1" t="s">
        <v>6</v>
      </c>
      <c r="K1" s="8" t="s">
        <v>136</v>
      </c>
      <c r="L1" s="8" t="s">
        <v>137</v>
      </c>
      <c r="M1" s="8" t="s">
        <v>138</v>
      </c>
      <c r="S1" t="s">
        <v>2</v>
      </c>
      <c r="T1" t="s">
        <v>123</v>
      </c>
      <c r="U1" t="s">
        <v>124</v>
      </c>
      <c r="V1" t="s">
        <v>125</v>
      </c>
    </row>
    <row r="2" spans="1:22" x14ac:dyDescent="0.35">
      <c r="A2" s="1" t="s">
        <v>7</v>
      </c>
      <c r="B2" s="2">
        <v>45292</v>
      </c>
      <c r="C2" s="1" t="s">
        <v>8</v>
      </c>
      <c r="D2" s="1" t="str">
        <f>VLOOKUP(Data_Transaksi3568[[#This Row],[Kode_Produk]],Master_Produk9[#All],2)</f>
        <v>Kemeja Kasual</v>
      </c>
      <c r="E2" s="1" t="str">
        <f>VLOOKUP(Data_Transaksi3568[[#This Row],[Kode_Produk]],Master_Produk9[#All],3)</f>
        <v>Pakaian</v>
      </c>
      <c r="F2" s="1" t="s">
        <v>9</v>
      </c>
      <c r="G2">
        <v>2</v>
      </c>
      <c r="H2">
        <f>VLOOKUP(Data_Transaksi3568[[#This Row],[Kode_Produk]],Master_Produk9[#All],4)</f>
        <v>80000</v>
      </c>
      <c r="I2">
        <v>150000</v>
      </c>
      <c r="J2" s="1" t="s">
        <v>10</v>
      </c>
      <c r="K2" s="8">
        <f>Data_Transaksi3568[[#This Row],[Jumlah_Beli]]*Data_Transaksi3568[[#This Row],[Harga_Satuan]]</f>
        <v>300000</v>
      </c>
      <c r="L2" s="8">
        <f>Data_Transaksi3568[[#This Row],[Jumlah_Beli]]*Data_Transaksi3568[[#This Row],[Harga Modal]]</f>
        <v>160000</v>
      </c>
      <c r="M2" s="8">
        <f>Data_Transaksi3568[[#This Row],[Total_Omzet]]-Data_Transaksi3568[[#This Row],[Total_Modal]]</f>
        <v>140000</v>
      </c>
      <c r="S2" s="1" t="s">
        <v>8</v>
      </c>
      <c r="T2" s="1" t="s">
        <v>126</v>
      </c>
      <c r="U2" s="1" t="s">
        <v>127</v>
      </c>
      <c r="V2">
        <v>80000</v>
      </c>
    </row>
    <row r="3" spans="1:22" x14ac:dyDescent="0.35">
      <c r="A3" s="1" t="s">
        <v>11</v>
      </c>
      <c r="B3" s="2">
        <v>45292</v>
      </c>
      <c r="C3" s="1" t="s">
        <v>12</v>
      </c>
      <c r="D3" s="1" t="str">
        <f>VLOOKUP(Data_Transaksi3568[[#This Row],[Kode_Produk]],Master_Produk9[#All],2)</f>
        <v>Celana Jeans</v>
      </c>
      <c r="E3" s="1" t="str">
        <f>VLOOKUP(Data_Transaksi3568[[#This Row],[Kode_Produk]],Master_Produk9[#All],3)</f>
        <v>Pakaian</v>
      </c>
      <c r="F3" s="1" t="s">
        <v>13</v>
      </c>
      <c r="G3">
        <v>1</v>
      </c>
      <c r="H3">
        <f>VLOOKUP(Data_Transaksi3568[[#This Row],[Kode_Produk]],Master_Produk9[#All],4)</f>
        <v>150000</v>
      </c>
      <c r="I3">
        <v>250000</v>
      </c>
      <c r="J3" s="1" t="s">
        <v>14</v>
      </c>
      <c r="K3" s="8">
        <f>Data_Transaksi3568[[#This Row],[Jumlah_Beli]]*Data_Transaksi3568[[#This Row],[Harga_Satuan]]</f>
        <v>250000</v>
      </c>
      <c r="L3" s="8">
        <f>Data_Transaksi3568[[#This Row],[Jumlah_Beli]]*Data_Transaksi3568[[#This Row],[Harga Modal]]</f>
        <v>150000</v>
      </c>
      <c r="M3" s="8">
        <f>Data_Transaksi3568[[#This Row],[Total_Omzet]]-Data_Transaksi3568[[#This Row],[Total_Modal]]</f>
        <v>100000</v>
      </c>
      <c r="S3" s="1" t="s">
        <v>12</v>
      </c>
      <c r="T3" s="1" t="s">
        <v>128</v>
      </c>
      <c r="U3" s="1" t="s">
        <v>127</v>
      </c>
      <c r="V3">
        <v>150000</v>
      </c>
    </row>
    <row r="4" spans="1:22" x14ac:dyDescent="0.35">
      <c r="A4" s="1" t="s">
        <v>15</v>
      </c>
      <c r="B4" s="2">
        <v>45293</v>
      </c>
      <c r="C4" s="1" t="s">
        <v>8</v>
      </c>
      <c r="D4" s="1" t="str">
        <f>VLOOKUP(Data_Transaksi3568[[#This Row],[Kode_Produk]],Master_Produk9[#All],2)</f>
        <v>Kemeja Kasual</v>
      </c>
      <c r="E4" s="1" t="str">
        <f>VLOOKUP(Data_Transaksi3568[[#This Row],[Kode_Produk]],Master_Produk9[#All],3)</f>
        <v>Pakaian</v>
      </c>
      <c r="F4" s="1" t="s">
        <v>9</v>
      </c>
      <c r="G4">
        <v>5</v>
      </c>
      <c r="H4">
        <f>VLOOKUP(Data_Transaksi3568[[#This Row],[Kode_Produk]],Master_Produk9[#All],4)</f>
        <v>80000</v>
      </c>
      <c r="I4">
        <v>150000</v>
      </c>
      <c r="J4" s="1" t="s">
        <v>10</v>
      </c>
      <c r="K4" s="8">
        <f>Data_Transaksi3568[[#This Row],[Jumlah_Beli]]*Data_Transaksi3568[[#This Row],[Harga_Satuan]]</f>
        <v>750000</v>
      </c>
      <c r="L4" s="8">
        <f>Data_Transaksi3568[[#This Row],[Jumlah_Beli]]*Data_Transaksi3568[[#This Row],[Harga Modal]]</f>
        <v>400000</v>
      </c>
      <c r="M4" s="8">
        <f>Data_Transaksi3568[[#This Row],[Total_Omzet]]-Data_Transaksi3568[[#This Row],[Total_Modal]]</f>
        <v>350000</v>
      </c>
      <c r="S4" s="1" t="s">
        <v>17</v>
      </c>
      <c r="T4" s="1" t="s">
        <v>129</v>
      </c>
      <c r="U4" s="1" t="s">
        <v>130</v>
      </c>
      <c r="V4">
        <v>300000</v>
      </c>
    </row>
    <row r="5" spans="1:22" x14ac:dyDescent="0.35">
      <c r="A5" s="1" t="s">
        <v>16</v>
      </c>
      <c r="B5" s="2">
        <v>45293</v>
      </c>
      <c r="C5" s="1" t="s">
        <v>17</v>
      </c>
      <c r="D5" s="1" t="str">
        <f>VLOOKUP(Data_Transaksi3568[[#This Row],[Kode_Produk]],Master_Produk9[#All],2)</f>
        <v>Sepatu Sneakers</v>
      </c>
      <c r="E5" s="1" t="str">
        <f>VLOOKUP(Data_Transaksi3568[[#This Row],[Kode_Produk]],Master_Produk9[#All],3)</f>
        <v>Sepatu</v>
      </c>
      <c r="F5" s="1" t="s">
        <v>18</v>
      </c>
      <c r="G5">
        <v>1</v>
      </c>
      <c r="H5">
        <f>VLOOKUP(Data_Transaksi3568[[#This Row],[Kode_Produk]],Master_Produk9[#All],4)</f>
        <v>300000</v>
      </c>
      <c r="I5">
        <v>500000</v>
      </c>
      <c r="J5" s="1" t="s">
        <v>19</v>
      </c>
      <c r="K5" s="8">
        <f>Data_Transaksi3568[[#This Row],[Jumlah_Beli]]*Data_Transaksi3568[[#This Row],[Harga_Satuan]]</f>
        <v>500000</v>
      </c>
      <c r="L5" s="8">
        <f>Data_Transaksi3568[[#This Row],[Jumlah_Beli]]*Data_Transaksi3568[[#This Row],[Harga Modal]]</f>
        <v>300000</v>
      </c>
      <c r="M5" s="8">
        <f>Data_Transaksi3568[[#This Row],[Total_Omzet]]-Data_Transaksi3568[[#This Row],[Total_Modal]]</f>
        <v>200000</v>
      </c>
      <c r="S5" s="1" t="s">
        <v>24</v>
      </c>
      <c r="T5" s="1" t="s">
        <v>131</v>
      </c>
      <c r="U5" s="1" t="s">
        <v>132</v>
      </c>
      <c r="V5">
        <v>120000</v>
      </c>
    </row>
    <row r="6" spans="1:22" x14ac:dyDescent="0.35">
      <c r="A6" s="1" t="s">
        <v>20</v>
      </c>
      <c r="B6" s="2">
        <v>45294</v>
      </c>
      <c r="C6" s="1" t="s">
        <v>12</v>
      </c>
      <c r="D6" s="1" t="str">
        <f>VLOOKUP(Data_Transaksi3568[[#This Row],[Kode_Produk]],Master_Produk9[#All],2)</f>
        <v>Celana Jeans</v>
      </c>
      <c r="E6" s="1" t="str">
        <f>VLOOKUP(Data_Transaksi3568[[#This Row],[Kode_Produk]],Master_Produk9[#All],3)</f>
        <v>Pakaian</v>
      </c>
      <c r="F6" s="1" t="s">
        <v>9</v>
      </c>
      <c r="G6">
        <v>2</v>
      </c>
      <c r="H6">
        <f>VLOOKUP(Data_Transaksi3568[[#This Row],[Kode_Produk]],Master_Produk9[#All],4)</f>
        <v>150000</v>
      </c>
      <c r="I6">
        <v>250000</v>
      </c>
      <c r="J6" s="1" t="s">
        <v>21</v>
      </c>
      <c r="K6" s="8">
        <f>Data_Transaksi3568[[#This Row],[Jumlah_Beli]]*Data_Transaksi3568[[#This Row],[Harga_Satuan]]</f>
        <v>500000</v>
      </c>
      <c r="L6" s="8">
        <f>Data_Transaksi3568[[#This Row],[Jumlah_Beli]]*Data_Transaksi3568[[#This Row],[Harga Modal]]</f>
        <v>300000</v>
      </c>
      <c r="M6" s="8">
        <f>Data_Transaksi3568[[#This Row],[Total_Omzet]]-Data_Transaksi3568[[#This Row],[Total_Modal]]</f>
        <v>200000</v>
      </c>
      <c r="S6" s="1" t="s">
        <v>30</v>
      </c>
      <c r="T6" s="1" t="s">
        <v>133</v>
      </c>
      <c r="U6" s="1" t="s">
        <v>132</v>
      </c>
      <c r="V6">
        <v>5000</v>
      </c>
    </row>
    <row r="7" spans="1:22" x14ac:dyDescent="0.35">
      <c r="A7" s="1" t="s">
        <v>22</v>
      </c>
      <c r="B7" s="2">
        <v>45294</v>
      </c>
      <c r="C7" s="1" t="s">
        <v>12</v>
      </c>
      <c r="D7" s="1" t="str">
        <f>VLOOKUP(Data_Transaksi3568[[#This Row],[Kode_Produk]],Master_Produk9[#All],2)</f>
        <v>Celana Jeans</v>
      </c>
      <c r="E7" s="1" t="str">
        <f>VLOOKUP(Data_Transaksi3568[[#This Row],[Kode_Produk]],Master_Produk9[#All],3)</f>
        <v>Pakaian</v>
      </c>
      <c r="F7" s="1" t="s">
        <v>9</v>
      </c>
      <c r="G7">
        <v>2</v>
      </c>
      <c r="H7">
        <f>VLOOKUP(Data_Transaksi3568[[#This Row],[Kode_Produk]],Master_Produk9[#All],4)</f>
        <v>150000</v>
      </c>
      <c r="I7">
        <v>250000</v>
      </c>
      <c r="J7" s="1" t="s">
        <v>21</v>
      </c>
      <c r="K7" s="8">
        <f>Data_Transaksi3568[[#This Row],[Jumlah_Beli]]*Data_Transaksi3568[[#This Row],[Harga_Satuan]]</f>
        <v>500000</v>
      </c>
      <c r="L7" s="8">
        <f>Data_Transaksi3568[[#This Row],[Jumlah_Beli]]*Data_Transaksi3568[[#This Row],[Harga Modal]]</f>
        <v>300000</v>
      </c>
      <c r="M7" s="8">
        <f>Data_Transaksi3568[[#This Row],[Total_Omzet]]-Data_Transaksi3568[[#This Row],[Total_Modal]]</f>
        <v>200000</v>
      </c>
    </row>
    <row r="8" spans="1:22" x14ac:dyDescent="0.35">
      <c r="A8" s="1" t="s">
        <v>23</v>
      </c>
      <c r="B8" s="2">
        <v>45295</v>
      </c>
      <c r="C8" s="1" t="s">
        <v>24</v>
      </c>
      <c r="D8" s="1" t="str">
        <f>VLOOKUP(Data_Transaksi3568[[#This Row],[Kode_Produk]],Master_Produk9[#All],2)</f>
        <v>Tas Ransel</v>
      </c>
      <c r="E8" s="1" t="str">
        <f>VLOOKUP(Data_Transaksi3568[[#This Row],[Kode_Produk]],Master_Produk9[#All],3)</f>
        <v>Aksesoris</v>
      </c>
      <c r="F8" s="1" t="s">
        <v>25</v>
      </c>
      <c r="G8">
        <v>3</v>
      </c>
      <c r="H8">
        <f>VLOOKUP(Data_Transaksi3568[[#This Row],[Kode_Produk]],Master_Produk9[#All],4)</f>
        <v>120000</v>
      </c>
      <c r="I8" s="5">
        <v>150000</v>
      </c>
      <c r="J8" s="1" t="s">
        <v>26</v>
      </c>
      <c r="K8" s="8">
        <f>Data_Transaksi3568[[#This Row],[Jumlah_Beli]]*Data_Transaksi3568[[#This Row],[Harga_Satuan]]</f>
        <v>450000</v>
      </c>
      <c r="L8" s="8">
        <f>Data_Transaksi3568[[#This Row],[Jumlah_Beli]]*Data_Transaksi3568[[#This Row],[Harga Modal]]</f>
        <v>360000</v>
      </c>
      <c r="M8" s="8">
        <f>Data_Transaksi3568[[#This Row],[Total_Omzet]]-Data_Transaksi3568[[#This Row],[Total_Modal]]</f>
        <v>90000</v>
      </c>
    </row>
    <row r="9" spans="1:22" x14ac:dyDescent="0.35">
      <c r="A9" s="1" t="s">
        <v>27</v>
      </c>
      <c r="B9" s="2">
        <v>45295</v>
      </c>
      <c r="C9" s="1" t="s">
        <v>8</v>
      </c>
      <c r="D9" s="1" t="str">
        <f>VLOOKUP(Data_Transaksi3568[[#This Row],[Kode_Produk]],Master_Produk9[#All],2)</f>
        <v>Kemeja Kasual</v>
      </c>
      <c r="E9" s="1" t="str">
        <f>VLOOKUP(Data_Transaksi3568[[#This Row],[Kode_Produk]],Master_Produk9[#All],3)</f>
        <v>Pakaian</v>
      </c>
      <c r="F9" s="1" t="s">
        <v>13</v>
      </c>
      <c r="G9">
        <v>1</v>
      </c>
      <c r="H9">
        <f>VLOOKUP(Data_Transaksi3568[[#This Row],[Kode_Produk]],Master_Produk9[#All],4)</f>
        <v>80000</v>
      </c>
      <c r="I9">
        <v>150000</v>
      </c>
      <c r="J9" s="1" t="s">
        <v>28</v>
      </c>
      <c r="K9" s="8">
        <f>Data_Transaksi3568[[#This Row],[Jumlah_Beli]]*Data_Transaksi3568[[#This Row],[Harga_Satuan]]</f>
        <v>150000</v>
      </c>
      <c r="L9" s="8">
        <f>Data_Transaksi3568[[#This Row],[Jumlah_Beli]]*Data_Transaksi3568[[#This Row],[Harga Modal]]</f>
        <v>80000</v>
      </c>
      <c r="M9" s="8">
        <f>Data_Transaksi3568[[#This Row],[Total_Omzet]]-Data_Transaksi3568[[#This Row],[Total_Modal]]</f>
        <v>70000</v>
      </c>
    </row>
    <row r="10" spans="1:22" x14ac:dyDescent="0.35">
      <c r="A10" s="1" t="s">
        <v>29</v>
      </c>
      <c r="B10" s="2">
        <v>45296</v>
      </c>
      <c r="C10" s="1" t="s">
        <v>30</v>
      </c>
      <c r="D10" s="1" t="str">
        <f>VLOOKUP(Data_Transaksi3568[[#This Row],[Kode_Produk]],Master_Produk9[#All],2)</f>
        <v>Kaos Kaki</v>
      </c>
      <c r="E10" s="1" t="str">
        <f>VLOOKUP(Data_Transaksi3568[[#This Row],[Kode_Produk]],Master_Produk9[#All],3)</f>
        <v>Aksesoris</v>
      </c>
      <c r="F10" s="1" t="s">
        <v>18</v>
      </c>
      <c r="G10">
        <v>2</v>
      </c>
      <c r="H10">
        <f>VLOOKUP(Data_Transaksi3568[[#This Row],[Kode_Produk]],Master_Produk9[#All],4)</f>
        <v>5000</v>
      </c>
      <c r="I10">
        <v>25000</v>
      </c>
      <c r="J10" s="1" t="s">
        <v>31</v>
      </c>
      <c r="K10" s="8">
        <f>Data_Transaksi3568[[#This Row],[Jumlah_Beli]]*Data_Transaksi3568[[#This Row],[Harga_Satuan]]</f>
        <v>50000</v>
      </c>
      <c r="L10" s="8">
        <f>Data_Transaksi3568[[#This Row],[Jumlah_Beli]]*Data_Transaksi3568[[#This Row],[Harga Modal]]</f>
        <v>10000</v>
      </c>
      <c r="M10" s="8">
        <f>Data_Transaksi3568[[#This Row],[Total_Omzet]]-Data_Transaksi3568[[#This Row],[Total_Modal]]</f>
        <v>40000</v>
      </c>
    </row>
    <row r="11" spans="1:22" x14ac:dyDescent="0.35">
      <c r="A11" s="1" t="s">
        <v>32</v>
      </c>
      <c r="B11" s="2">
        <v>45296</v>
      </c>
      <c r="C11" s="1" t="s">
        <v>17</v>
      </c>
      <c r="D11" s="1" t="str">
        <f>VLOOKUP(Data_Transaksi3568[[#This Row],[Kode_Produk]],Master_Produk9[#All],2)</f>
        <v>Sepatu Sneakers</v>
      </c>
      <c r="E11" s="1" t="str">
        <f>VLOOKUP(Data_Transaksi3568[[#This Row],[Kode_Produk]],Master_Produk9[#All],3)</f>
        <v>Sepatu</v>
      </c>
      <c r="F11" s="1" t="s">
        <v>9</v>
      </c>
      <c r="G11">
        <v>1</v>
      </c>
      <c r="H11">
        <f>VLOOKUP(Data_Transaksi3568[[#This Row],[Kode_Produk]],Master_Produk9[#All],4)</f>
        <v>300000</v>
      </c>
      <c r="I11">
        <v>500000</v>
      </c>
      <c r="J11" s="1" t="s">
        <v>33</v>
      </c>
      <c r="K11" s="8">
        <f>Data_Transaksi3568[[#This Row],[Jumlah_Beli]]*Data_Transaksi3568[[#This Row],[Harga_Satuan]]</f>
        <v>500000</v>
      </c>
      <c r="L11" s="8">
        <f>Data_Transaksi3568[[#This Row],[Jumlah_Beli]]*Data_Transaksi3568[[#This Row],[Harga Modal]]</f>
        <v>300000</v>
      </c>
      <c r="M11" s="8">
        <f>Data_Transaksi3568[[#This Row],[Total_Omzet]]-Data_Transaksi3568[[#This Row],[Total_Modal]]</f>
        <v>200000</v>
      </c>
    </row>
    <row r="12" spans="1:22" x14ac:dyDescent="0.35">
      <c r="A12" s="1" t="s">
        <v>34</v>
      </c>
      <c r="B12" s="2">
        <v>45297</v>
      </c>
      <c r="C12" s="1" t="s">
        <v>8</v>
      </c>
      <c r="D12" s="1" t="str">
        <f>VLOOKUP(Data_Transaksi3568[[#This Row],[Kode_Produk]],Master_Produk9[#All],2)</f>
        <v>Kemeja Kasual</v>
      </c>
      <c r="E12" s="1" t="str">
        <f>VLOOKUP(Data_Transaksi3568[[#This Row],[Kode_Produk]],Master_Produk9[#All],3)</f>
        <v>Pakaian</v>
      </c>
      <c r="F12" s="1" t="s">
        <v>25</v>
      </c>
      <c r="G12">
        <v>2</v>
      </c>
      <c r="H12">
        <f>VLOOKUP(Data_Transaksi3568[[#This Row],[Kode_Produk]],Master_Produk9[#All],4)</f>
        <v>80000</v>
      </c>
      <c r="I12">
        <v>150000</v>
      </c>
      <c r="J12" s="6" t="s">
        <v>35</v>
      </c>
      <c r="K12" s="9">
        <f>Data_Transaksi3568[[#This Row],[Jumlah_Beli]]*Data_Transaksi3568[[#This Row],[Harga_Satuan]]</f>
        <v>300000</v>
      </c>
      <c r="L12" s="9">
        <f>Data_Transaksi3568[[#This Row],[Jumlah_Beli]]*Data_Transaksi3568[[#This Row],[Harga Modal]]</f>
        <v>160000</v>
      </c>
      <c r="M12" s="9">
        <f>Data_Transaksi3568[[#This Row],[Total_Omzet]]-Data_Transaksi3568[[#This Row],[Total_Modal]]</f>
        <v>140000</v>
      </c>
    </row>
    <row r="13" spans="1:22" x14ac:dyDescent="0.35">
      <c r="A13" s="1" t="s">
        <v>36</v>
      </c>
      <c r="B13" s="2">
        <v>45297</v>
      </c>
      <c r="C13" s="1" t="s">
        <v>12</v>
      </c>
      <c r="D13" s="1" t="str">
        <f>VLOOKUP(Data_Transaksi3568[[#This Row],[Kode_Produk]],Master_Produk9[#All],2)</f>
        <v>Celana Jeans</v>
      </c>
      <c r="E13" s="1" t="str">
        <f>VLOOKUP(Data_Transaksi3568[[#This Row],[Kode_Produk]],Master_Produk9[#All],3)</f>
        <v>Pakaian</v>
      </c>
      <c r="F13" s="1" t="s">
        <v>9</v>
      </c>
      <c r="G13">
        <v>1</v>
      </c>
      <c r="H13">
        <f>VLOOKUP(Data_Transaksi3568[[#This Row],[Kode_Produk]],Master_Produk9[#All],4)</f>
        <v>150000</v>
      </c>
      <c r="I13">
        <v>250000</v>
      </c>
      <c r="J13" s="1" t="s">
        <v>37</v>
      </c>
      <c r="K13" s="8">
        <f>Data_Transaksi3568[[#This Row],[Jumlah_Beli]]*Data_Transaksi3568[[#This Row],[Harga_Satuan]]</f>
        <v>250000</v>
      </c>
      <c r="L13" s="8">
        <f>Data_Transaksi3568[[#This Row],[Jumlah_Beli]]*Data_Transaksi3568[[#This Row],[Harga Modal]]</f>
        <v>150000</v>
      </c>
      <c r="M13" s="8">
        <f>Data_Transaksi3568[[#This Row],[Total_Omzet]]-Data_Transaksi3568[[#This Row],[Total_Modal]]</f>
        <v>100000</v>
      </c>
    </row>
    <row r="14" spans="1:22" x14ac:dyDescent="0.35">
      <c r="A14" s="1" t="s">
        <v>38</v>
      </c>
      <c r="B14" s="2">
        <v>45298</v>
      </c>
      <c r="C14" s="1" t="s">
        <v>24</v>
      </c>
      <c r="D14" s="1" t="str">
        <f>VLOOKUP(Data_Transaksi3568[[#This Row],[Kode_Produk]],Master_Produk9[#All],2)</f>
        <v>Tas Ransel</v>
      </c>
      <c r="E14" s="1" t="str">
        <f>VLOOKUP(Data_Transaksi3568[[#This Row],[Kode_Produk]],Master_Produk9[#All],3)</f>
        <v>Aksesoris</v>
      </c>
      <c r="F14" s="1" t="s">
        <v>18</v>
      </c>
      <c r="G14">
        <v>5</v>
      </c>
      <c r="H14">
        <f>VLOOKUP(Data_Transaksi3568[[#This Row],[Kode_Produk]],Master_Produk9[#All],4)</f>
        <v>120000</v>
      </c>
      <c r="I14">
        <v>120000</v>
      </c>
      <c r="J14" s="1" t="s">
        <v>39</v>
      </c>
      <c r="K14" s="8">
        <f>Data_Transaksi3568[[#This Row],[Jumlah_Beli]]*Data_Transaksi3568[[#This Row],[Harga_Satuan]]</f>
        <v>600000</v>
      </c>
      <c r="L14" s="8">
        <f>Data_Transaksi3568[[#This Row],[Jumlah_Beli]]*Data_Transaksi3568[[#This Row],[Harga Modal]]</f>
        <v>600000</v>
      </c>
      <c r="M14" s="8">
        <f>Data_Transaksi3568[[#This Row],[Total_Omzet]]-Data_Transaksi3568[[#This Row],[Total_Modal]]</f>
        <v>0</v>
      </c>
    </row>
    <row r="15" spans="1:22" x14ac:dyDescent="0.35">
      <c r="A15" s="1" t="s">
        <v>40</v>
      </c>
      <c r="B15" s="2">
        <v>45299</v>
      </c>
      <c r="C15" s="1" t="s">
        <v>17</v>
      </c>
      <c r="D15" s="1" t="str">
        <f>VLOOKUP(Data_Transaksi3568[[#This Row],[Kode_Produk]],Master_Produk9[#All],2)</f>
        <v>Sepatu Sneakers</v>
      </c>
      <c r="E15" s="1" t="str">
        <f>VLOOKUP(Data_Transaksi3568[[#This Row],[Kode_Produk]],Master_Produk9[#All],3)</f>
        <v>Sepatu</v>
      </c>
      <c r="F15" s="1" t="s">
        <v>13</v>
      </c>
      <c r="G15">
        <v>1</v>
      </c>
      <c r="H15">
        <f>VLOOKUP(Data_Transaksi3568[[#This Row],[Kode_Produk]],Master_Produk9[#All],4)</f>
        <v>300000</v>
      </c>
      <c r="I15" s="5">
        <v>150000</v>
      </c>
      <c r="J15" s="1" t="s">
        <v>41</v>
      </c>
      <c r="K15" s="8">
        <f>Data_Transaksi3568[[#This Row],[Jumlah_Beli]]*Data_Transaksi3568[[#This Row],[Harga_Satuan]]</f>
        <v>150000</v>
      </c>
      <c r="L15" s="8">
        <f>Data_Transaksi3568[[#This Row],[Jumlah_Beli]]*Data_Transaksi3568[[#This Row],[Harga Modal]]</f>
        <v>300000</v>
      </c>
      <c r="M15" s="8">
        <f>Data_Transaksi3568[[#This Row],[Total_Omzet]]-Data_Transaksi3568[[#This Row],[Total_Modal]]</f>
        <v>-150000</v>
      </c>
    </row>
    <row r="16" spans="1:22" x14ac:dyDescent="0.35">
      <c r="A16" s="1" t="s">
        <v>42</v>
      </c>
      <c r="B16" s="2">
        <v>45300</v>
      </c>
      <c r="C16" s="1" t="s">
        <v>30</v>
      </c>
      <c r="D16" s="1" t="str">
        <f>VLOOKUP(Data_Transaksi3568[[#This Row],[Kode_Produk]],Master_Produk9[#All],2)</f>
        <v>Kaos Kaki</v>
      </c>
      <c r="E16" s="1" t="str">
        <f>VLOOKUP(Data_Transaksi3568[[#This Row],[Kode_Produk]],Master_Produk9[#All],3)</f>
        <v>Aksesoris</v>
      </c>
      <c r="F16" s="1" t="s">
        <v>25</v>
      </c>
      <c r="G16">
        <v>20</v>
      </c>
      <c r="H16">
        <f>VLOOKUP(Data_Transaksi3568[[#This Row],[Kode_Produk]],Master_Produk9[#All],4)</f>
        <v>5000</v>
      </c>
      <c r="I16">
        <v>10000</v>
      </c>
      <c r="J16" s="1" t="s">
        <v>43</v>
      </c>
      <c r="K16" s="8">
        <f>Data_Transaksi3568[[#This Row],[Jumlah_Beli]]*Data_Transaksi3568[[#This Row],[Harga_Satuan]]</f>
        <v>200000</v>
      </c>
      <c r="L16" s="8">
        <f>Data_Transaksi3568[[#This Row],[Jumlah_Beli]]*Data_Transaksi3568[[#This Row],[Harga Modal]]</f>
        <v>100000</v>
      </c>
      <c r="M16" s="8">
        <f>Data_Transaksi3568[[#This Row],[Total_Omzet]]-Data_Transaksi3568[[#This Row],[Total_Modal]]</f>
        <v>100000</v>
      </c>
    </row>
    <row r="17" spans="1:13" x14ac:dyDescent="0.35">
      <c r="A17" s="1" t="s">
        <v>44</v>
      </c>
      <c r="B17" s="2">
        <v>45301</v>
      </c>
      <c r="C17" s="1" t="s">
        <v>8</v>
      </c>
      <c r="D17" s="1" t="str">
        <f>VLOOKUP(Data_Transaksi3568[[#This Row],[Kode_Produk]],Master_Produk9[#All],2)</f>
        <v>Kemeja Kasual</v>
      </c>
      <c r="E17" s="1" t="str">
        <f>VLOOKUP(Data_Transaksi3568[[#This Row],[Kode_Produk]],Master_Produk9[#All],3)</f>
        <v>Pakaian</v>
      </c>
      <c r="F17" s="1" t="s">
        <v>9</v>
      </c>
      <c r="G17">
        <v>3</v>
      </c>
      <c r="H17">
        <f>VLOOKUP(Data_Transaksi3568[[#This Row],[Kode_Produk]],Master_Produk9[#All],4)</f>
        <v>80000</v>
      </c>
      <c r="I17">
        <v>150000</v>
      </c>
      <c r="J17" s="1" t="s">
        <v>45</v>
      </c>
      <c r="K17" s="8">
        <f>Data_Transaksi3568[[#This Row],[Jumlah_Beli]]*Data_Transaksi3568[[#This Row],[Harga_Satuan]]</f>
        <v>450000</v>
      </c>
      <c r="L17" s="8">
        <f>Data_Transaksi3568[[#This Row],[Jumlah_Beli]]*Data_Transaksi3568[[#This Row],[Harga Modal]]</f>
        <v>240000</v>
      </c>
      <c r="M17" s="8">
        <f>Data_Transaksi3568[[#This Row],[Total_Omzet]]-Data_Transaksi3568[[#This Row],[Total_Modal]]</f>
        <v>210000</v>
      </c>
    </row>
    <row r="18" spans="1:13" x14ac:dyDescent="0.35">
      <c r="A18" s="1" t="s">
        <v>46</v>
      </c>
      <c r="B18" s="2">
        <v>45301</v>
      </c>
      <c r="C18" s="1" t="s">
        <v>8</v>
      </c>
      <c r="D18" s="1" t="str">
        <f>VLOOKUP(Data_Transaksi3568[[#This Row],[Kode_Produk]],Master_Produk9[#All],2)</f>
        <v>Kemeja Kasual</v>
      </c>
      <c r="E18" s="1" t="str">
        <f>VLOOKUP(Data_Transaksi3568[[#This Row],[Kode_Produk]],Master_Produk9[#All],3)</f>
        <v>Pakaian</v>
      </c>
      <c r="F18" s="1" t="s">
        <v>9</v>
      </c>
      <c r="G18">
        <v>3</v>
      </c>
      <c r="H18">
        <f>VLOOKUP(Data_Transaksi3568[[#This Row],[Kode_Produk]],Master_Produk9[#All],4)</f>
        <v>80000</v>
      </c>
      <c r="I18">
        <v>150000</v>
      </c>
      <c r="J18" s="1" t="s">
        <v>45</v>
      </c>
      <c r="K18" s="8">
        <f>Data_Transaksi3568[[#This Row],[Jumlah_Beli]]*Data_Transaksi3568[[#This Row],[Harga_Satuan]]</f>
        <v>450000</v>
      </c>
      <c r="L18" s="8">
        <f>Data_Transaksi3568[[#This Row],[Jumlah_Beli]]*Data_Transaksi3568[[#This Row],[Harga Modal]]</f>
        <v>240000</v>
      </c>
      <c r="M18" s="8">
        <f>Data_Transaksi3568[[#This Row],[Total_Omzet]]-Data_Transaksi3568[[#This Row],[Total_Modal]]</f>
        <v>210000</v>
      </c>
    </row>
    <row r="19" spans="1:13" x14ac:dyDescent="0.35">
      <c r="A19" s="1" t="s">
        <v>47</v>
      </c>
      <c r="B19" s="2">
        <v>45302</v>
      </c>
      <c r="C19" s="1" t="s">
        <v>12</v>
      </c>
      <c r="D19" s="1" t="str">
        <f>VLOOKUP(Data_Transaksi3568[[#This Row],[Kode_Produk]],Master_Produk9[#All],2)</f>
        <v>Celana Jeans</v>
      </c>
      <c r="E19" s="1" t="str">
        <f>VLOOKUP(Data_Transaksi3568[[#This Row],[Kode_Produk]],Master_Produk9[#All],3)</f>
        <v>Pakaian</v>
      </c>
      <c r="F19" s="1" t="s">
        <v>18</v>
      </c>
      <c r="G19">
        <v>2</v>
      </c>
      <c r="H19">
        <f>VLOOKUP(Data_Transaksi3568[[#This Row],[Kode_Produk]],Master_Produk9[#All],4)</f>
        <v>150000</v>
      </c>
      <c r="I19">
        <v>250000</v>
      </c>
      <c r="J19" s="1" t="s">
        <v>48</v>
      </c>
      <c r="K19" s="8">
        <f>Data_Transaksi3568[[#This Row],[Jumlah_Beli]]*Data_Transaksi3568[[#This Row],[Harga_Satuan]]</f>
        <v>500000</v>
      </c>
      <c r="L19" s="8">
        <f>Data_Transaksi3568[[#This Row],[Jumlah_Beli]]*Data_Transaksi3568[[#This Row],[Harga Modal]]</f>
        <v>300000</v>
      </c>
      <c r="M19" s="8">
        <f>Data_Transaksi3568[[#This Row],[Total_Omzet]]-Data_Transaksi3568[[#This Row],[Total_Modal]]</f>
        <v>200000</v>
      </c>
    </row>
    <row r="20" spans="1:13" x14ac:dyDescent="0.35">
      <c r="A20" s="1" t="s">
        <v>49</v>
      </c>
      <c r="B20" s="2">
        <v>45303</v>
      </c>
      <c r="C20" s="1" t="s">
        <v>17</v>
      </c>
      <c r="D20" s="1" t="str">
        <f>VLOOKUP(Data_Transaksi3568[[#This Row],[Kode_Produk]],Master_Produk9[#All],2)</f>
        <v>Sepatu Sneakers</v>
      </c>
      <c r="E20" s="1" t="str">
        <f>VLOOKUP(Data_Transaksi3568[[#This Row],[Kode_Produk]],Master_Produk9[#All],3)</f>
        <v>Sepatu</v>
      </c>
      <c r="F20" s="1" t="s">
        <v>9</v>
      </c>
      <c r="G20">
        <v>1</v>
      </c>
      <c r="H20">
        <f>VLOOKUP(Data_Transaksi3568[[#This Row],[Kode_Produk]],Master_Produk9[#All],4)</f>
        <v>300000</v>
      </c>
      <c r="I20">
        <v>500000</v>
      </c>
      <c r="J20" s="1" t="s">
        <v>50</v>
      </c>
      <c r="K20" s="8">
        <f>Data_Transaksi3568[[#This Row],[Jumlah_Beli]]*Data_Transaksi3568[[#This Row],[Harga_Satuan]]</f>
        <v>500000</v>
      </c>
      <c r="L20" s="8">
        <f>Data_Transaksi3568[[#This Row],[Jumlah_Beli]]*Data_Transaksi3568[[#This Row],[Harga Modal]]</f>
        <v>300000</v>
      </c>
      <c r="M20" s="8">
        <f>Data_Transaksi3568[[#This Row],[Total_Omzet]]-Data_Transaksi3568[[#This Row],[Total_Modal]]</f>
        <v>200000</v>
      </c>
    </row>
    <row r="21" spans="1:13" x14ac:dyDescent="0.35">
      <c r="A21" s="1" t="s">
        <v>51</v>
      </c>
      <c r="B21" s="2">
        <v>45304</v>
      </c>
      <c r="C21" s="1" t="s">
        <v>24</v>
      </c>
      <c r="D21" s="1" t="str">
        <f>VLOOKUP(Data_Transaksi3568[[#This Row],[Kode_Produk]],Master_Produk9[#All],2)</f>
        <v>Tas Ransel</v>
      </c>
      <c r="E21" s="1" t="str">
        <f>VLOOKUP(Data_Transaksi3568[[#This Row],[Kode_Produk]],Master_Produk9[#All],3)</f>
        <v>Aksesoris</v>
      </c>
      <c r="F21" s="6" t="s">
        <v>13</v>
      </c>
      <c r="G21">
        <v>4</v>
      </c>
      <c r="H21">
        <f>VLOOKUP(Data_Transaksi3568[[#This Row],[Kode_Produk]],Master_Produk9[#All],4)</f>
        <v>120000</v>
      </c>
      <c r="I21">
        <v>120000</v>
      </c>
      <c r="J21" s="1" t="s">
        <v>53</v>
      </c>
      <c r="K21" s="8">
        <f>Data_Transaksi3568[[#This Row],[Jumlah_Beli]]*Data_Transaksi3568[[#This Row],[Harga_Satuan]]</f>
        <v>480000</v>
      </c>
      <c r="L21" s="8">
        <f>Data_Transaksi3568[[#This Row],[Jumlah_Beli]]*Data_Transaksi3568[[#This Row],[Harga Modal]]</f>
        <v>480000</v>
      </c>
      <c r="M21" s="8">
        <f>Data_Transaksi3568[[#This Row],[Total_Omzet]]-Data_Transaksi3568[[#This Row],[Total_Modal]]</f>
        <v>0</v>
      </c>
    </row>
    <row r="22" spans="1:13" x14ac:dyDescent="0.35">
      <c r="A22" s="1" t="s">
        <v>54</v>
      </c>
      <c r="B22" s="2">
        <v>45305</v>
      </c>
      <c r="C22" s="1" t="s">
        <v>8</v>
      </c>
      <c r="D22" s="1" t="str">
        <f>VLOOKUP(Data_Transaksi3568[[#This Row],[Kode_Produk]],Master_Produk9[#All],2)</f>
        <v>Kemeja Kasual</v>
      </c>
      <c r="E22" s="1" t="str">
        <f>VLOOKUP(Data_Transaksi3568[[#This Row],[Kode_Produk]],Master_Produk9[#All],3)</f>
        <v>Pakaian</v>
      </c>
      <c r="F22" s="1" t="s">
        <v>25</v>
      </c>
      <c r="G22">
        <v>1</v>
      </c>
      <c r="H22">
        <f>VLOOKUP(Data_Transaksi3568[[#This Row],[Kode_Produk]],Master_Produk9[#All],4)</f>
        <v>80000</v>
      </c>
      <c r="I22">
        <v>150000</v>
      </c>
      <c r="J22" s="1" t="s">
        <v>55</v>
      </c>
      <c r="K22" s="8">
        <f>Data_Transaksi3568[[#This Row],[Jumlah_Beli]]*Data_Transaksi3568[[#This Row],[Harga_Satuan]]</f>
        <v>150000</v>
      </c>
      <c r="L22" s="8">
        <f>Data_Transaksi3568[[#This Row],[Jumlah_Beli]]*Data_Transaksi3568[[#This Row],[Harga Modal]]</f>
        <v>80000</v>
      </c>
      <c r="M22" s="8">
        <f>Data_Transaksi3568[[#This Row],[Total_Omzet]]-Data_Transaksi3568[[#This Row],[Total_Modal]]</f>
        <v>70000</v>
      </c>
    </row>
    <row r="23" spans="1:13" x14ac:dyDescent="0.35">
      <c r="A23" s="1" t="s">
        <v>56</v>
      </c>
      <c r="B23" s="2">
        <v>45306</v>
      </c>
      <c r="C23" s="1" t="s">
        <v>30</v>
      </c>
      <c r="D23" s="1" t="str">
        <f>VLOOKUP(Data_Transaksi3568[[#This Row],[Kode_Produk]],Master_Produk9[#All],2)</f>
        <v>Kaos Kaki</v>
      </c>
      <c r="E23" s="1" t="str">
        <f>VLOOKUP(Data_Transaksi3568[[#This Row],[Kode_Produk]],Master_Produk9[#All],3)</f>
        <v>Aksesoris</v>
      </c>
      <c r="F23" s="1" t="s">
        <v>9</v>
      </c>
      <c r="G23">
        <v>15</v>
      </c>
      <c r="H23">
        <f>VLOOKUP(Data_Transaksi3568[[#This Row],[Kode_Produk]],Master_Produk9[#All],4)</f>
        <v>5000</v>
      </c>
      <c r="I23">
        <v>10000</v>
      </c>
      <c r="J23" s="1" t="s">
        <v>58</v>
      </c>
      <c r="K23" s="8">
        <f>Data_Transaksi3568[[#This Row],[Jumlah_Beli]]*Data_Transaksi3568[[#This Row],[Harga_Satuan]]</f>
        <v>150000</v>
      </c>
      <c r="L23" s="8">
        <f>Data_Transaksi3568[[#This Row],[Jumlah_Beli]]*Data_Transaksi3568[[#This Row],[Harga Modal]]</f>
        <v>75000</v>
      </c>
      <c r="M23" s="8">
        <f>Data_Transaksi3568[[#This Row],[Total_Omzet]]-Data_Transaksi3568[[#This Row],[Total_Modal]]</f>
        <v>75000</v>
      </c>
    </row>
    <row r="24" spans="1:13" x14ac:dyDescent="0.35">
      <c r="A24" s="1" t="s">
        <v>59</v>
      </c>
      <c r="B24" s="2">
        <v>45307</v>
      </c>
      <c r="C24" s="1" t="s">
        <v>12</v>
      </c>
      <c r="D24" s="1" t="str">
        <f>VLOOKUP(Data_Transaksi3568[[#This Row],[Kode_Produk]],Master_Produk9[#All],2)</f>
        <v>Celana Jeans</v>
      </c>
      <c r="E24" s="1" t="str">
        <f>VLOOKUP(Data_Transaksi3568[[#This Row],[Kode_Produk]],Master_Produk9[#All],3)</f>
        <v>Pakaian</v>
      </c>
      <c r="F24" s="1" t="s">
        <v>18</v>
      </c>
      <c r="G24">
        <v>1</v>
      </c>
      <c r="H24">
        <f>VLOOKUP(Data_Transaksi3568[[#This Row],[Kode_Produk]],Master_Produk9[#All],4)</f>
        <v>150000</v>
      </c>
      <c r="I24">
        <v>250000</v>
      </c>
      <c r="J24" s="1" t="s">
        <v>60</v>
      </c>
      <c r="K24" s="8">
        <f>Data_Transaksi3568[[#This Row],[Jumlah_Beli]]*Data_Transaksi3568[[#This Row],[Harga_Satuan]]</f>
        <v>250000</v>
      </c>
      <c r="L24" s="8">
        <f>Data_Transaksi3568[[#This Row],[Jumlah_Beli]]*Data_Transaksi3568[[#This Row],[Harga Modal]]</f>
        <v>150000</v>
      </c>
      <c r="M24" s="8">
        <f>Data_Transaksi3568[[#This Row],[Total_Omzet]]-Data_Transaksi3568[[#This Row],[Total_Modal]]</f>
        <v>100000</v>
      </c>
    </row>
    <row r="25" spans="1:13" x14ac:dyDescent="0.35">
      <c r="A25" s="1" t="s">
        <v>61</v>
      </c>
      <c r="B25" s="2">
        <v>45308</v>
      </c>
      <c r="C25" s="1" t="s">
        <v>17</v>
      </c>
      <c r="D25" s="1" t="str">
        <f>VLOOKUP(Data_Transaksi3568[[#This Row],[Kode_Produk]],Master_Produk9[#All],2)</f>
        <v>Sepatu Sneakers</v>
      </c>
      <c r="E25" s="1" t="str">
        <f>VLOOKUP(Data_Transaksi3568[[#This Row],[Kode_Produk]],Master_Produk9[#All],3)</f>
        <v>Sepatu</v>
      </c>
      <c r="F25" s="1" t="s">
        <v>13</v>
      </c>
      <c r="G25">
        <v>2</v>
      </c>
      <c r="H25">
        <f>VLOOKUP(Data_Transaksi3568[[#This Row],[Kode_Produk]],Master_Produk9[#All],4)</f>
        <v>300000</v>
      </c>
      <c r="I25">
        <v>500000</v>
      </c>
      <c r="J25" s="1" t="s">
        <v>62</v>
      </c>
      <c r="K25" s="8">
        <f>Data_Transaksi3568[[#This Row],[Jumlah_Beli]]*Data_Transaksi3568[[#This Row],[Harga_Satuan]]</f>
        <v>1000000</v>
      </c>
      <c r="L25" s="8">
        <f>Data_Transaksi3568[[#This Row],[Jumlah_Beli]]*Data_Transaksi3568[[#This Row],[Harga Modal]]</f>
        <v>600000</v>
      </c>
      <c r="M25" s="8">
        <f>Data_Transaksi3568[[#This Row],[Total_Omzet]]-Data_Transaksi3568[[#This Row],[Total_Modal]]</f>
        <v>400000</v>
      </c>
    </row>
    <row r="26" spans="1:13" x14ac:dyDescent="0.35">
      <c r="A26" s="1" t="s">
        <v>63</v>
      </c>
      <c r="B26" s="2">
        <v>45309</v>
      </c>
      <c r="C26" s="1" t="s">
        <v>8</v>
      </c>
      <c r="D26" s="1" t="str">
        <f>VLOOKUP(Data_Transaksi3568[[#This Row],[Kode_Produk]],Master_Produk9[#All],2)</f>
        <v>Kemeja Kasual</v>
      </c>
      <c r="E26" s="1" t="str">
        <f>VLOOKUP(Data_Transaksi3568[[#This Row],[Kode_Produk]],Master_Produk9[#All],3)</f>
        <v>Pakaian</v>
      </c>
      <c r="F26" s="1" t="s">
        <v>9</v>
      </c>
      <c r="G26">
        <v>5</v>
      </c>
      <c r="H26">
        <f>VLOOKUP(Data_Transaksi3568[[#This Row],[Kode_Produk]],Master_Produk9[#All],4)</f>
        <v>80000</v>
      </c>
      <c r="I26">
        <v>150000</v>
      </c>
      <c r="J26" s="1" t="s">
        <v>64</v>
      </c>
      <c r="K26" s="8">
        <f>Data_Transaksi3568[[#This Row],[Jumlah_Beli]]*Data_Transaksi3568[[#This Row],[Harga_Satuan]]</f>
        <v>750000</v>
      </c>
      <c r="L26" s="8">
        <f>Data_Transaksi3568[[#This Row],[Jumlah_Beli]]*Data_Transaksi3568[[#This Row],[Harga Modal]]</f>
        <v>400000</v>
      </c>
      <c r="M26" s="8">
        <f>Data_Transaksi3568[[#This Row],[Total_Omzet]]-Data_Transaksi3568[[#This Row],[Total_Modal]]</f>
        <v>350000</v>
      </c>
    </row>
    <row r="27" spans="1:13" x14ac:dyDescent="0.35">
      <c r="A27" s="1" t="s">
        <v>65</v>
      </c>
      <c r="B27" s="2">
        <v>45310</v>
      </c>
      <c r="C27" s="1" t="s">
        <v>24</v>
      </c>
      <c r="D27" s="1" t="str">
        <f>VLOOKUP(Data_Transaksi3568[[#This Row],[Kode_Produk]],Master_Produk9[#All],2)</f>
        <v>Tas Ransel</v>
      </c>
      <c r="E27" s="1" t="str">
        <f>VLOOKUP(Data_Transaksi3568[[#This Row],[Kode_Produk]],Master_Produk9[#All],3)</f>
        <v>Aksesoris</v>
      </c>
      <c r="F27" s="1" t="s">
        <v>25</v>
      </c>
      <c r="G27">
        <v>2</v>
      </c>
      <c r="H27">
        <f>VLOOKUP(Data_Transaksi3568[[#This Row],[Kode_Produk]],Master_Produk9[#All],4)</f>
        <v>120000</v>
      </c>
      <c r="I27">
        <v>120000</v>
      </c>
      <c r="J27" s="1" t="s">
        <v>66</v>
      </c>
      <c r="K27" s="8">
        <f>Data_Transaksi3568[[#This Row],[Jumlah_Beli]]*Data_Transaksi3568[[#This Row],[Harga_Satuan]]</f>
        <v>240000</v>
      </c>
      <c r="L27" s="8">
        <f>Data_Transaksi3568[[#This Row],[Jumlah_Beli]]*Data_Transaksi3568[[#This Row],[Harga Modal]]</f>
        <v>240000</v>
      </c>
      <c r="M27" s="8">
        <f>Data_Transaksi3568[[#This Row],[Total_Omzet]]-Data_Transaksi3568[[#This Row],[Total_Modal]]</f>
        <v>0</v>
      </c>
    </row>
    <row r="28" spans="1:13" x14ac:dyDescent="0.35">
      <c r="A28" s="1" t="s">
        <v>67</v>
      </c>
      <c r="B28" s="2">
        <v>45311</v>
      </c>
      <c r="C28" s="1" t="s">
        <v>12</v>
      </c>
      <c r="D28" s="1" t="str">
        <f>VLOOKUP(Data_Transaksi3568[[#This Row],[Kode_Produk]],Master_Produk9[#All],2)</f>
        <v>Celana Jeans</v>
      </c>
      <c r="E28" s="1" t="str">
        <f>VLOOKUP(Data_Transaksi3568[[#This Row],[Kode_Produk]],Master_Produk9[#All],3)</f>
        <v>Pakaian</v>
      </c>
      <c r="F28" s="1" t="s">
        <v>9</v>
      </c>
      <c r="G28">
        <v>1</v>
      </c>
      <c r="H28">
        <f>VLOOKUP(Data_Transaksi3568[[#This Row],[Kode_Produk]],Master_Produk9[#All],4)</f>
        <v>150000</v>
      </c>
      <c r="I28">
        <v>250000</v>
      </c>
      <c r="J28" s="1" t="s">
        <v>68</v>
      </c>
      <c r="K28" s="8">
        <f>Data_Transaksi3568[[#This Row],[Jumlah_Beli]]*Data_Transaksi3568[[#This Row],[Harga_Satuan]]</f>
        <v>250000</v>
      </c>
      <c r="L28" s="8">
        <f>Data_Transaksi3568[[#This Row],[Jumlah_Beli]]*Data_Transaksi3568[[#This Row],[Harga Modal]]</f>
        <v>150000</v>
      </c>
      <c r="M28" s="8">
        <f>Data_Transaksi3568[[#This Row],[Total_Omzet]]-Data_Transaksi3568[[#This Row],[Total_Modal]]</f>
        <v>100000</v>
      </c>
    </row>
    <row r="29" spans="1:13" x14ac:dyDescent="0.35">
      <c r="A29" s="1" t="s">
        <v>69</v>
      </c>
      <c r="B29" s="2">
        <v>45312</v>
      </c>
      <c r="C29" s="1" t="s">
        <v>30</v>
      </c>
      <c r="D29" s="1" t="str">
        <f>VLOOKUP(Data_Transaksi3568[[#This Row],[Kode_Produk]],Master_Produk9[#All],2)</f>
        <v>Kaos Kaki</v>
      </c>
      <c r="E29" s="1" t="str">
        <f>VLOOKUP(Data_Transaksi3568[[#This Row],[Kode_Produk]],Master_Produk9[#All],3)</f>
        <v>Aksesoris</v>
      </c>
      <c r="F29" s="1" t="s">
        <v>18</v>
      </c>
      <c r="G29">
        <v>25</v>
      </c>
      <c r="H29">
        <f>VLOOKUP(Data_Transaksi3568[[#This Row],[Kode_Produk]],Master_Produk9[#All],4)</f>
        <v>5000</v>
      </c>
      <c r="I29" s="5">
        <v>150000</v>
      </c>
      <c r="J29" s="1" t="s">
        <v>70</v>
      </c>
      <c r="K29" s="8">
        <f>Data_Transaksi3568[[#This Row],[Jumlah_Beli]]*Data_Transaksi3568[[#This Row],[Harga_Satuan]]</f>
        <v>3750000</v>
      </c>
      <c r="L29" s="8">
        <f>Data_Transaksi3568[[#This Row],[Jumlah_Beli]]*Data_Transaksi3568[[#This Row],[Harga Modal]]</f>
        <v>125000</v>
      </c>
      <c r="M29" s="8">
        <f>Data_Transaksi3568[[#This Row],[Total_Omzet]]-Data_Transaksi3568[[#This Row],[Total_Modal]]</f>
        <v>3625000</v>
      </c>
    </row>
    <row r="30" spans="1:13" x14ac:dyDescent="0.35">
      <c r="A30" s="1" t="s">
        <v>71</v>
      </c>
      <c r="B30" s="2">
        <v>45313</v>
      </c>
      <c r="C30" s="1" t="s">
        <v>17</v>
      </c>
      <c r="D30" s="1" t="str">
        <f>VLOOKUP(Data_Transaksi3568[[#This Row],[Kode_Produk]],Master_Produk9[#All],2)</f>
        <v>Sepatu Sneakers</v>
      </c>
      <c r="E30" s="1" t="str">
        <f>VLOOKUP(Data_Transaksi3568[[#This Row],[Kode_Produk]],Master_Produk9[#All],3)</f>
        <v>Sepatu</v>
      </c>
      <c r="F30" s="6" t="s">
        <v>13</v>
      </c>
      <c r="G30">
        <v>1</v>
      </c>
      <c r="H30">
        <f>VLOOKUP(Data_Transaksi3568[[#This Row],[Kode_Produk]],Master_Produk9[#All],4)</f>
        <v>300000</v>
      </c>
      <c r="I30">
        <v>500000</v>
      </c>
      <c r="J30" s="1" t="s">
        <v>73</v>
      </c>
      <c r="K30" s="8">
        <f>Data_Transaksi3568[[#This Row],[Jumlah_Beli]]*Data_Transaksi3568[[#This Row],[Harga_Satuan]]</f>
        <v>500000</v>
      </c>
      <c r="L30" s="8">
        <f>Data_Transaksi3568[[#This Row],[Jumlah_Beli]]*Data_Transaksi3568[[#This Row],[Harga Modal]]</f>
        <v>300000</v>
      </c>
      <c r="M30" s="8">
        <f>Data_Transaksi3568[[#This Row],[Total_Omzet]]-Data_Transaksi3568[[#This Row],[Total_Modal]]</f>
        <v>200000</v>
      </c>
    </row>
    <row r="31" spans="1:13" x14ac:dyDescent="0.35">
      <c r="A31" s="1" t="s">
        <v>74</v>
      </c>
      <c r="B31" s="2">
        <v>45314</v>
      </c>
      <c r="C31" s="1" t="s">
        <v>8</v>
      </c>
      <c r="D31" s="1" t="str">
        <f>VLOOKUP(Data_Transaksi3568[[#This Row],[Kode_Produk]],Master_Produk9[#All],2)</f>
        <v>Kemeja Kasual</v>
      </c>
      <c r="E31" s="1" t="str">
        <f>VLOOKUP(Data_Transaksi3568[[#This Row],[Kode_Produk]],Master_Produk9[#All],3)</f>
        <v>Pakaian</v>
      </c>
      <c r="F31" s="1" t="s">
        <v>9</v>
      </c>
      <c r="G31">
        <v>2</v>
      </c>
      <c r="H31">
        <f>VLOOKUP(Data_Transaksi3568[[#This Row],[Kode_Produk]],Master_Produk9[#All],4)</f>
        <v>80000</v>
      </c>
      <c r="I31">
        <v>150000</v>
      </c>
      <c r="J31" s="1" t="s">
        <v>75</v>
      </c>
      <c r="K31" s="8">
        <f>Data_Transaksi3568[[#This Row],[Jumlah_Beli]]*Data_Transaksi3568[[#This Row],[Harga_Satuan]]</f>
        <v>300000</v>
      </c>
      <c r="L31" s="8">
        <f>Data_Transaksi3568[[#This Row],[Jumlah_Beli]]*Data_Transaksi3568[[#This Row],[Harga Modal]]</f>
        <v>160000</v>
      </c>
      <c r="M31" s="8">
        <f>Data_Transaksi3568[[#This Row],[Total_Omzet]]-Data_Transaksi3568[[#This Row],[Total_Modal]]</f>
        <v>140000</v>
      </c>
    </row>
    <row r="32" spans="1:13" x14ac:dyDescent="0.35">
      <c r="A32" s="1" t="s">
        <v>76</v>
      </c>
      <c r="B32" s="2">
        <v>45315</v>
      </c>
      <c r="C32" s="1" t="s">
        <v>12</v>
      </c>
      <c r="D32" s="1" t="str">
        <f>VLOOKUP(Data_Transaksi3568[[#This Row],[Kode_Produk]],Master_Produk9[#All],2)</f>
        <v>Celana Jeans</v>
      </c>
      <c r="E32" s="1" t="str">
        <f>VLOOKUP(Data_Transaksi3568[[#This Row],[Kode_Produk]],Master_Produk9[#All],3)</f>
        <v>Pakaian</v>
      </c>
      <c r="F32" s="1" t="s">
        <v>25</v>
      </c>
      <c r="G32">
        <v>3</v>
      </c>
      <c r="H32">
        <f>VLOOKUP(Data_Transaksi3568[[#This Row],[Kode_Produk]],Master_Produk9[#All],4)</f>
        <v>150000</v>
      </c>
      <c r="I32">
        <v>250000</v>
      </c>
      <c r="J32" s="1" t="s">
        <v>77</v>
      </c>
      <c r="K32" s="8">
        <f>Data_Transaksi3568[[#This Row],[Jumlah_Beli]]*Data_Transaksi3568[[#This Row],[Harga_Satuan]]</f>
        <v>750000</v>
      </c>
      <c r="L32" s="8">
        <f>Data_Transaksi3568[[#This Row],[Jumlah_Beli]]*Data_Transaksi3568[[#This Row],[Harga Modal]]</f>
        <v>450000</v>
      </c>
      <c r="M32" s="8">
        <f>Data_Transaksi3568[[#This Row],[Total_Omzet]]-Data_Transaksi3568[[#This Row],[Total_Modal]]</f>
        <v>300000</v>
      </c>
    </row>
    <row r="33" spans="1:13" x14ac:dyDescent="0.35">
      <c r="A33" s="1" t="s">
        <v>78</v>
      </c>
      <c r="B33" s="2">
        <v>45316</v>
      </c>
      <c r="C33" s="1" t="s">
        <v>24</v>
      </c>
      <c r="D33" s="1" t="str">
        <f>VLOOKUP(Data_Transaksi3568[[#This Row],[Kode_Produk]],Master_Produk9[#All],2)</f>
        <v>Tas Ransel</v>
      </c>
      <c r="E33" s="1" t="str">
        <f>VLOOKUP(Data_Transaksi3568[[#This Row],[Kode_Produk]],Master_Produk9[#All],3)</f>
        <v>Aksesoris</v>
      </c>
      <c r="F33" s="6" t="s">
        <v>9</v>
      </c>
      <c r="G33">
        <v>1</v>
      </c>
      <c r="H33">
        <f>VLOOKUP(Data_Transaksi3568[[#This Row],[Kode_Produk]],Master_Produk9[#All],4)</f>
        <v>120000</v>
      </c>
      <c r="I33">
        <v>120000</v>
      </c>
      <c r="J33" s="1" t="s">
        <v>80</v>
      </c>
      <c r="K33" s="8">
        <f>Data_Transaksi3568[[#This Row],[Jumlah_Beli]]*Data_Transaksi3568[[#This Row],[Harga_Satuan]]</f>
        <v>120000</v>
      </c>
      <c r="L33" s="8">
        <f>Data_Transaksi3568[[#This Row],[Jumlah_Beli]]*Data_Transaksi3568[[#This Row],[Harga Modal]]</f>
        <v>120000</v>
      </c>
      <c r="M33" s="8">
        <f>Data_Transaksi3568[[#This Row],[Total_Omzet]]-Data_Transaksi3568[[#This Row],[Total_Modal]]</f>
        <v>0</v>
      </c>
    </row>
    <row r="34" spans="1:13" x14ac:dyDescent="0.35">
      <c r="A34" s="1" t="s">
        <v>81</v>
      </c>
      <c r="B34" s="2">
        <v>45317</v>
      </c>
      <c r="C34" s="1" t="s">
        <v>8</v>
      </c>
      <c r="D34" s="1" t="str">
        <f>VLOOKUP(Data_Transaksi3568[[#This Row],[Kode_Produk]],Master_Produk9[#All],2)</f>
        <v>Kemeja Kasual</v>
      </c>
      <c r="E34" s="1" t="str">
        <f>VLOOKUP(Data_Transaksi3568[[#This Row],[Kode_Produk]],Master_Produk9[#All],3)</f>
        <v>Pakaian</v>
      </c>
      <c r="F34" s="1" t="s">
        <v>18</v>
      </c>
      <c r="G34">
        <v>4</v>
      </c>
      <c r="H34">
        <f>VLOOKUP(Data_Transaksi3568[[#This Row],[Kode_Produk]],Master_Produk9[#All],4)</f>
        <v>80000</v>
      </c>
      <c r="I34">
        <v>150000</v>
      </c>
      <c r="J34" s="1" t="s">
        <v>82</v>
      </c>
      <c r="K34" s="8">
        <f>Data_Transaksi3568[[#This Row],[Jumlah_Beli]]*Data_Transaksi3568[[#This Row],[Harga_Satuan]]</f>
        <v>600000</v>
      </c>
      <c r="L34" s="8">
        <f>Data_Transaksi3568[[#This Row],[Jumlah_Beli]]*Data_Transaksi3568[[#This Row],[Harga Modal]]</f>
        <v>320000</v>
      </c>
      <c r="M34" s="8">
        <f>Data_Transaksi3568[[#This Row],[Total_Omzet]]-Data_Transaksi3568[[#This Row],[Total_Modal]]</f>
        <v>280000</v>
      </c>
    </row>
    <row r="35" spans="1:13" x14ac:dyDescent="0.35">
      <c r="A35" s="1" t="s">
        <v>83</v>
      </c>
      <c r="B35" s="2">
        <v>45318</v>
      </c>
      <c r="C35" s="1" t="s">
        <v>30</v>
      </c>
      <c r="D35" s="1" t="str">
        <f>VLOOKUP(Data_Transaksi3568[[#This Row],[Kode_Produk]],Master_Produk9[#All],2)</f>
        <v>Kaos Kaki</v>
      </c>
      <c r="E35" s="1" t="str">
        <f>VLOOKUP(Data_Transaksi3568[[#This Row],[Kode_Produk]],Master_Produk9[#All],3)</f>
        <v>Aksesoris</v>
      </c>
      <c r="F35" s="1" t="s">
        <v>13</v>
      </c>
      <c r="G35">
        <v>30</v>
      </c>
      <c r="H35">
        <f>VLOOKUP(Data_Transaksi3568[[#This Row],[Kode_Produk]],Master_Produk9[#All],4)</f>
        <v>5000</v>
      </c>
      <c r="I35">
        <v>10000</v>
      </c>
      <c r="J35" s="1" t="s">
        <v>84</v>
      </c>
      <c r="K35" s="8">
        <f>Data_Transaksi3568[[#This Row],[Jumlah_Beli]]*Data_Transaksi3568[[#This Row],[Harga_Satuan]]</f>
        <v>300000</v>
      </c>
      <c r="L35" s="8">
        <f>Data_Transaksi3568[[#This Row],[Jumlah_Beli]]*Data_Transaksi3568[[#This Row],[Harga Modal]]</f>
        <v>150000</v>
      </c>
      <c r="M35" s="8">
        <f>Data_Transaksi3568[[#This Row],[Total_Omzet]]-Data_Transaksi3568[[#This Row],[Total_Modal]]</f>
        <v>150000</v>
      </c>
    </row>
    <row r="36" spans="1:13" x14ac:dyDescent="0.35">
      <c r="A36" s="1" t="s">
        <v>85</v>
      </c>
      <c r="B36" s="2">
        <v>45319</v>
      </c>
      <c r="C36" s="1" t="s">
        <v>17</v>
      </c>
      <c r="D36" s="1" t="str">
        <f>VLOOKUP(Data_Transaksi3568[[#This Row],[Kode_Produk]],Master_Produk9[#All],2)</f>
        <v>Sepatu Sneakers</v>
      </c>
      <c r="E36" s="1" t="str">
        <f>VLOOKUP(Data_Transaksi3568[[#This Row],[Kode_Produk]],Master_Produk9[#All],3)</f>
        <v>Sepatu</v>
      </c>
      <c r="F36" s="1" t="s">
        <v>9</v>
      </c>
      <c r="G36">
        <v>1</v>
      </c>
      <c r="H36">
        <f>VLOOKUP(Data_Transaksi3568[[#This Row],[Kode_Produk]],Master_Produk9[#All],4)</f>
        <v>300000</v>
      </c>
      <c r="I36">
        <v>500000</v>
      </c>
      <c r="J36" s="1" t="s">
        <v>86</v>
      </c>
      <c r="K36" s="8">
        <f>Data_Transaksi3568[[#This Row],[Jumlah_Beli]]*Data_Transaksi3568[[#This Row],[Harga_Satuan]]</f>
        <v>500000</v>
      </c>
      <c r="L36" s="8">
        <f>Data_Transaksi3568[[#This Row],[Jumlah_Beli]]*Data_Transaksi3568[[#This Row],[Harga Modal]]</f>
        <v>300000</v>
      </c>
      <c r="M36" s="8">
        <f>Data_Transaksi3568[[#This Row],[Total_Omzet]]-Data_Transaksi3568[[#This Row],[Total_Modal]]</f>
        <v>200000</v>
      </c>
    </row>
    <row r="37" spans="1:13" x14ac:dyDescent="0.35">
      <c r="A37" s="1" t="s">
        <v>89</v>
      </c>
      <c r="B37" s="7">
        <v>45320</v>
      </c>
      <c r="C37" s="1" t="s">
        <v>8</v>
      </c>
      <c r="D37" s="1" t="str">
        <f>VLOOKUP(Data_Transaksi3568[[#This Row],[Kode_Produk]],Master_Produk9[#All],2)</f>
        <v>Kemeja Kasual</v>
      </c>
      <c r="E37" s="1" t="str">
        <f>VLOOKUP(Data_Transaksi3568[[#This Row],[Kode_Produk]],Master_Produk9[#All],3)</f>
        <v>Pakaian</v>
      </c>
      <c r="F37" s="1" t="s">
        <v>9</v>
      </c>
      <c r="G37">
        <v>6</v>
      </c>
      <c r="H37">
        <f>VLOOKUP(Data_Transaksi3568[[#This Row],[Kode_Produk]],Master_Produk9[#All],4)</f>
        <v>80000</v>
      </c>
      <c r="I37">
        <v>150000</v>
      </c>
      <c r="J37" s="1" t="s">
        <v>33</v>
      </c>
      <c r="K37" s="8">
        <f>Data_Transaksi3568[[#This Row],[Jumlah_Beli]]*Data_Transaksi3568[[#This Row],[Harga_Satuan]]</f>
        <v>900000</v>
      </c>
      <c r="L37" s="8">
        <f>Data_Transaksi3568[[#This Row],[Jumlah_Beli]]*Data_Transaksi3568[[#This Row],[Harga Modal]]</f>
        <v>480000</v>
      </c>
      <c r="M37" s="8">
        <f>Data_Transaksi3568[[#This Row],[Total_Omzet]]-Data_Transaksi3568[[#This Row],[Total_Modal]]</f>
        <v>420000</v>
      </c>
    </row>
    <row r="38" spans="1:13" x14ac:dyDescent="0.35">
      <c r="A38" s="1" t="s">
        <v>90</v>
      </c>
      <c r="B38" s="2">
        <v>45322</v>
      </c>
      <c r="C38" s="1" t="s">
        <v>24</v>
      </c>
      <c r="D38" s="1" t="str">
        <f>VLOOKUP(Data_Transaksi3568[[#This Row],[Kode_Produk]],Master_Produk9[#All],2)</f>
        <v>Tas Ransel</v>
      </c>
      <c r="E38" s="1" t="str">
        <f>VLOOKUP(Data_Transaksi3568[[#This Row],[Kode_Produk]],Master_Produk9[#All],3)</f>
        <v>Aksesoris</v>
      </c>
      <c r="F38" s="1" t="s">
        <v>18</v>
      </c>
      <c r="G38">
        <v>2</v>
      </c>
      <c r="H38">
        <f>VLOOKUP(Data_Transaksi3568[[#This Row],[Kode_Produk]],Master_Produk9[#All],4)</f>
        <v>120000</v>
      </c>
      <c r="I38">
        <v>120000</v>
      </c>
      <c r="J38" s="1" t="s">
        <v>91</v>
      </c>
      <c r="K38" s="8">
        <f>Data_Transaksi3568[[#This Row],[Jumlah_Beli]]*Data_Transaksi3568[[#This Row],[Harga_Satuan]]</f>
        <v>240000</v>
      </c>
      <c r="L38" s="8">
        <f>Data_Transaksi3568[[#This Row],[Jumlah_Beli]]*Data_Transaksi3568[[#This Row],[Harga Modal]]</f>
        <v>240000</v>
      </c>
      <c r="M38" s="8">
        <f>Data_Transaksi3568[[#This Row],[Total_Omzet]]-Data_Transaksi3568[[#This Row],[Total_Modal]]</f>
        <v>0</v>
      </c>
    </row>
    <row r="39" spans="1:13" x14ac:dyDescent="0.35">
      <c r="A39" s="1" t="s">
        <v>92</v>
      </c>
      <c r="B39" s="2">
        <v>45323</v>
      </c>
      <c r="C39" s="1" t="s">
        <v>30</v>
      </c>
      <c r="D39" s="1" t="str">
        <f>VLOOKUP(Data_Transaksi3568[[#This Row],[Kode_Produk]],Master_Produk9[#All],2)</f>
        <v>Kaos Kaki</v>
      </c>
      <c r="E39" s="1" t="str">
        <f>VLOOKUP(Data_Transaksi3568[[#This Row],[Kode_Produk]],Master_Produk9[#All],3)</f>
        <v>Aksesoris</v>
      </c>
      <c r="F39" s="1" t="s">
        <v>13</v>
      </c>
      <c r="G39">
        <v>10</v>
      </c>
      <c r="H39">
        <f>VLOOKUP(Data_Transaksi3568[[#This Row],[Kode_Produk]],Master_Produk9[#All],4)</f>
        <v>5000</v>
      </c>
      <c r="I39">
        <v>10000</v>
      </c>
      <c r="J39" s="1" t="s">
        <v>93</v>
      </c>
      <c r="K39" s="8">
        <f>Data_Transaksi3568[[#This Row],[Jumlah_Beli]]*Data_Transaksi3568[[#This Row],[Harga_Satuan]]</f>
        <v>100000</v>
      </c>
      <c r="L39" s="8">
        <f>Data_Transaksi3568[[#This Row],[Jumlah_Beli]]*Data_Transaksi3568[[#This Row],[Harga Modal]]</f>
        <v>50000</v>
      </c>
      <c r="M39" s="8">
        <f>Data_Transaksi3568[[#This Row],[Total_Omzet]]-Data_Transaksi3568[[#This Row],[Total_Modal]]</f>
        <v>50000</v>
      </c>
    </row>
    <row r="40" spans="1:13" x14ac:dyDescent="0.35">
      <c r="A40" s="1" t="s">
        <v>94</v>
      </c>
      <c r="B40" s="2">
        <v>45324</v>
      </c>
      <c r="C40" s="1" t="s">
        <v>17</v>
      </c>
      <c r="D40" s="1" t="str">
        <f>VLOOKUP(Data_Transaksi3568[[#This Row],[Kode_Produk]],Master_Produk9[#All],2)</f>
        <v>Sepatu Sneakers</v>
      </c>
      <c r="E40" s="1" t="str">
        <f>VLOOKUP(Data_Transaksi3568[[#This Row],[Kode_Produk]],Master_Produk9[#All],3)</f>
        <v>Sepatu</v>
      </c>
      <c r="F40" s="1" t="s">
        <v>9</v>
      </c>
      <c r="G40">
        <v>1</v>
      </c>
      <c r="H40">
        <f>VLOOKUP(Data_Transaksi3568[[#This Row],[Kode_Produk]],Master_Produk9[#All],4)</f>
        <v>300000</v>
      </c>
      <c r="I40">
        <v>500000</v>
      </c>
      <c r="J40" s="1" t="s">
        <v>95</v>
      </c>
      <c r="K40" s="8">
        <f>Data_Transaksi3568[[#This Row],[Jumlah_Beli]]*Data_Transaksi3568[[#This Row],[Harga_Satuan]]</f>
        <v>500000</v>
      </c>
      <c r="L40" s="8">
        <f>Data_Transaksi3568[[#This Row],[Jumlah_Beli]]*Data_Transaksi3568[[#This Row],[Harga Modal]]</f>
        <v>300000</v>
      </c>
      <c r="M40" s="8">
        <f>Data_Transaksi3568[[#This Row],[Total_Omzet]]-Data_Transaksi3568[[#This Row],[Total_Modal]]</f>
        <v>200000</v>
      </c>
    </row>
    <row r="41" spans="1:13" x14ac:dyDescent="0.35">
      <c r="A41" s="1" t="s">
        <v>96</v>
      </c>
      <c r="B41" s="2">
        <v>45325</v>
      </c>
      <c r="C41" s="1" t="s">
        <v>12</v>
      </c>
      <c r="D41" s="1" t="str">
        <f>VLOOKUP(Data_Transaksi3568[[#This Row],[Kode_Produk]],Master_Produk9[#All],2)</f>
        <v>Celana Jeans</v>
      </c>
      <c r="E41" s="1" t="str">
        <f>VLOOKUP(Data_Transaksi3568[[#This Row],[Kode_Produk]],Master_Produk9[#All],3)</f>
        <v>Pakaian</v>
      </c>
      <c r="F41" s="1" t="s">
        <v>25</v>
      </c>
      <c r="G41">
        <v>1</v>
      </c>
      <c r="H41">
        <f>VLOOKUP(Data_Transaksi3568[[#This Row],[Kode_Produk]],Master_Produk9[#All],4)</f>
        <v>150000</v>
      </c>
      <c r="I41">
        <v>250000</v>
      </c>
      <c r="J41" s="1" t="s">
        <v>98</v>
      </c>
      <c r="K41" s="8">
        <f>Data_Transaksi3568[[#This Row],[Jumlah_Beli]]*Data_Transaksi3568[[#This Row],[Harga_Satuan]]</f>
        <v>250000</v>
      </c>
      <c r="L41" s="8">
        <f>Data_Transaksi3568[[#This Row],[Jumlah_Beli]]*Data_Transaksi3568[[#This Row],[Harga Modal]]</f>
        <v>150000</v>
      </c>
      <c r="M41" s="8">
        <f>Data_Transaksi3568[[#This Row],[Total_Omzet]]-Data_Transaksi3568[[#This Row],[Total_Modal]]</f>
        <v>100000</v>
      </c>
    </row>
    <row r="42" spans="1:13" x14ac:dyDescent="0.35">
      <c r="A42" s="1" t="s">
        <v>99</v>
      </c>
      <c r="B42" s="2">
        <v>45326</v>
      </c>
      <c r="C42" s="1" t="s">
        <v>8</v>
      </c>
      <c r="D42" s="1" t="str">
        <f>VLOOKUP(Data_Transaksi3568[[#This Row],[Kode_Produk]],Master_Produk9[#All],2)</f>
        <v>Kemeja Kasual</v>
      </c>
      <c r="E42" s="1" t="str">
        <f>VLOOKUP(Data_Transaksi3568[[#This Row],[Kode_Produk]],Master_Produk9[#All],3)</f>
        <v>Pakaian</v>
      </c>
      <c r="F42" s="1" t="s">
        <v>9</v>
      </c>
      <c r="G42">
        <v>3</v>
      </c>
      <c r="H42">
        <f>VLOOKUP(Data_Transaksi3568[[#This Row],[Kode_Produk]],Master_Produk9[#All],4)</f>
        <v>80000</v>
      </c>
      <c r="I42">
        <v>150000</v>
      </c>
      <c r="J42" s="1" t="s">
        <v>100</v>
      </c>
      <c r="K42" s="8">
        <f>Data_Transaksi3568[[#This Row],[Jumlah_Beli]]*Data_Transaksi3568[[#This Row],[Harga_Satuan]]</f>
        <v>450000</v>
      </c>
      <c r="L42" s="8">
        <f>Data_Transaksi3568[[#This Row],[Jumlah_Beli]]*Data_Transaksi3568[[#This Row],[Harga Modal]]</f>
        <v>240000</v>
      </c>
      <c r="M42" s="8">
        <f>Data_Transaksi3568[[#This Row],[Total_Omzet]]-Data_Transaksi3568[[#This Row],[Total_Modal]]</f>
        <v>210000</v>
      </c>
    </row>
    <row r="43" spans="1:13" x14ac:dyDescent="0.35">
      <c r="A43" s="1" t="s">
        <v>101</v>
      </c>
      <c r="B43" s="2">
        <v>45327</v>
      </c>
      <c r="C43" s="1" t="s">
        <v>24</v>
      </c>
      <c r="D43" s="1" t="str">
        <f>VLOOKUP(Data_Transaksi3568[[#This Row],[Kode_Produk]],Master_Produk9[#All],2)</f>
        <v>Tas Ransel</v>
      </c>
      <c r="E43" s="1" t="str">
        <f>VLOOKUP(Data_Transaksi3568[[#This Row],[Kode_Produk]],Master_Produk9[#All],3)</f>
        <v>Aksesoris</v>
      </c>
      <c r="F43" s="1" t="s">
        <v>18</v>
      </c>
      <c r="G43">
        <v>5</v>
      </c>
      <c r="H43">
        <f>VLOOKUP(Data_Transaksi3568[[#This Row],[Kode_Produk]],Master_Produk9[#All],4)</f>
        <v>120000</v>
      </c>
      <c r="I43">
        <v>120000</v>
      </c>
      <c r="J43" s="1" t="s">
        <v>102</v>
      </c>
      <c r="K43" s="8">
        <f>Data_Transaksi3568[[#This Row],[Jumlah_Beli]]*Data_Transaksi3568[[#This Row],[Harga_Satuan]]</f>
        <v>600000</v>
      </c>
      <c r="L43" s="8">
        <f>Data_Transaksi3568[[#This Row],[Jumlah_Beli]]*Data_Transaksi3568[[#This Row],[Harga Modal]]</f>
        <v>600000</v>
      </c>
      <c r="M43" s="8">
        <f>Data_Transaksi3568[[#This Row],[Total_Omzet]]-Data_Transaksi3568[[#This Row],[Total_Modal]]</f>
        <v>0</v>
      </c>
    </row>
    <row r="44" spans="1:13" x14ac:dyDescent="0.35">
      <c r="A44" s="1" t="s">
        <v>103</v>
      </c>
      <c r="B44" s="2">
        <v>45328</v>
      </c>
      <c r="C44" s="1" t="s">
        <v>30</v>
      </c>
      <c r="D44" s="1" t="str">
        <f>VLOOKUP(Data_Transaksi3568[[#This Row],[Kode_Produk]],Master_Produk9[#All],2)</f>
        <v>Kaos Kaki</v>
      </c>
      <c r="E44" s="1" t="str">
        <f>VLOOKUP(Data_Transaksi3568[[#This Row],[Kode_Produk]],Master_Produk9[#All],3)</f>
        <v>Aksesoris</v>
      </c>
      <c r="F44" s="1" t="s">
        <v>13</v>
      </c>
      <c r="G44">
        <v>20</v>
      </c>
      <c r="H44">
        <f>VLOOKUP(Data_Transaksi3568[[#This Row],[Kode_Produk]],Master_Produk9[#All],4)</f>
        <v>5000</v>
      </c>
      <c r="I44" s="5">
        <v>150000</v>
      </c>
      <c r="J44" s="1" t="s">
        <v>104</v>
      </c>
      <c r="K44" s="8">
        <f>Data_Transaksi3568[[#This Row],[Jumlah_Beli]]*Data_Transaksi3568[[#This Row],[Harga_Satuan]]</f>
        <v>3000000</v>
      </c>
      <c r="L44" s="8">
        <f>Data_Transaksi3568[[#This Row],[Jumlah_Beli]]*Data_Transaksi3568[[#This Row],[Harga Modal]]</f>
        <v>100000</v>
      </c>
      <c r="M44" s="8">
        <f>Data_Transaksi3568[[#This Row],[Total_Omzet]]-Data_Transaksi3568[[#This Row],[Total_Modal]]</f>
        <v>2900000</v>
      </c>
    </row>
    <row r="45" spans="1:13" x14ac:dyDescent="0.35">
      <c r="A45" s="1" t="s">
        <v>105</v>
      </c>
      <c r="B45" s="2">
        <v>45329</v>
      </c>
      <c r="C45" s="1" t="s">
        <v>17</v>
      </c>
      <c r="D45" s="1" t="str">
        <f>VLOOKUP(Data_Transaksi3568[[#This Row],[Kode_Produk]],Master_Produk9[#All],2)</f>
        <v>Sepatu Sneakers</v>
      </c>
      <c r="E45" s="1" t="str">
        <f>VLOOKUP(Data_Transaksi3568[[#This Row],[Kode_Produk]],Master_Produk9[#All],3)</f>
        <v>Sepatu</v>
      </c>
      <c r="F45" s="1" t="s">
        <v>9</v>
      </c>
      <c r="G45">
        <v>2</v>
      </c>
      <c r="H45">
        <f>VLOOKUP(Data_Transaksi3568[[#This Row],[Kode_Produk]],Master_Produk9[#All],4)</f>
        <v>300000</v>
      </c>
      <c r="I45">
        <v>500000</v>
      </c>
      <c r="J45" s="6" t="s">
        <v>35</v>
      </c>
      <c r="K45" s="9">
        <f>Data_Transaksi3568[[#This Row],[Jumlah_Beli]]*Data_Transaksi3568[[#This Row],[Harga_Satuan]]</f>
        <v>1000000</v>
      </c>
      <c r="L45" s="9">
        <f>Data_Transaksi3568[[#This Row],[Jumlah_Beli]]*Data_Transaksi3568[[#This Row],[Harga Modal]]</f>
        <v>600000</v>
      </c>
      <c r="M45" s="9">
        <f>Data_Transaksi3568[[#This Row],[Total_Omzet]]-Data_Transaksi3568[[#This Row],[Total_Modal]]</f>
        <v>400000</v>
      </c>
    </row>
    <row r="46" spans="1:13" x14ac:dyDescent="0.35">
      <c r="A46" s="1" t="s">
        <v>106</v>
      </c>
      <c r="B46" s="2">
        <v>45330</v>
      </c>
      <c r="C46" s="1" t="s">
        <v>12</v>
      </c>
      <c r="D46" s="1" t="str">
        <f>VLOOKUP(Data_Transaksi3568[[#This Row],[Kode_Produk]],Master_Produk9[#All],2)</f>
        <v>Celana Jeans</v>
      </c>
      <c r="E46" s="1" t="str">
        <f>VLOOKUP(Data_Transaksi3568[[#This Row],[Kode_Produk]],Master_Produk9[#All],3)</f>
        <v>Pakaian</v>
      </c>
      <c r="F46" s="1" t="s">
        <v>25</v>
      </c>
      <c r="G46">
        <v>2</v>
      </c>
      <c r="H46">
        <f>VLOOKUP(Data_Transaksi3568[[#This Row],[Kode_Produk]],Master_Produk9[#All],4)</f>
        <v>150000</v>
      </c>
      <c r="I46">
        <v>250000</v>
      </c>
      <c r="J46" s="1" t="s">
        <v>107</v>
      </c>
      <c r="K46" s="8">
        <f>Data_Transaksi3568[[#This Row],[Jumlah_Beli]]*Data_Transaksi3568[[#This Row],[Harga_Satuan]]</f>
        <v>500000</v>
      </c>
      <c r="L46" s="8">
        <f>Data_Transaksi3568[[#This Row],[Jumlah_Beli]]*Data_Transaksi3568[[#This Row],[Harga Modal]]</f>
        <v>300000</v>
      </c>
      <c r="M46" s="8">
        <f>Data_Transaksi3568[[#This Row],[Total_Omzet]]-Data_Transaksi3568[[#This Row],[Total_Modal]]</f>
        <v>200000</v>
      </c>
    </row>
    <row r="47" spans="1:13" x14ac:dyDescent="0.35">
      <c r="A47" s="1" t="s">
        <v>108</v>
      </c>
      <c r="B47" s="2">
        <v>45331</v>
      </c>
      <c r="C47" s="1" t="s">
        <v>8</v>
      </c>
      <c r="D47" s="1" t="str">
        <f>VLOOKUP(Data_Transaksi3568[[#This Row],[Kode_Produk]],Master_Produk9[#All],2)</f>
        <v>Kemeja Kasual</v>
      </c>
      <c r="E47" s="1" t="str">
        <f>VLOOKUP(Data_Transaksi3568[[#This Row],[Kode_Produk]],Master_Produk9[#All],3)</f>
        <v>Pakaian</v>
      </c>
      <c r="F47" s="1" t="s">
        <v>9</v>
      </c>
      <c r="G47">
        <v>4</v>
      </c>
      <c r="H47">
        <f>VLOOKUP(Data_Transaksi3568[[#This Row],[Kode_Produk]],Master_Produk9[#All],4)</f>
        <v>80000</v>
      </c>
      <c r="I47">
        <v>150000</v>
      </c>
      <c r="J47" s="6" t="s">
        <v>35</v>
      </c>
      <c r="K47" s="9">
        <f>Data_Transaksi3568[[#This Row],[Jumlah_Beli]]*Data_Transaksi3568[[#This Row],[Harga_Satuan]]</f>
        <v>600000</v>
      </c>
      <c r="L47" s="9">
        <f>Data_Transaksi3568[[#This Row],[Jumlah_Beli]]*Data_Transaksi3568[[#This Row],[Harga Modal]]</f>
        <v>320000</v>
      </c>
      <c r="M47" s="9">
        <f>Data_Transaksi3568[[#This Row],[Total_Omzet]]-Data_Transaksi3568[[#This Row],[Total_Modal]]</f>
        <v>280000</v>
      </c>
    </row>
    <row r="48" spans="1:13" x14ac:dyDescent="0.35">
      <c r="A48" s="1" t="s">
        <v>109</v>
      </c>
      <c r="B48" s="2">
        <v>45332</v>
      </c>
      <c r="C48" s="1" t="s">
        <v>24</v>
      </c>
      <c r="D48" s="1" t="str">
        <f>VLOOKUP(Data_Transaksi3568[[#This Row],[Kode_Produk]],Master_Produk9[#All],2)</f>
        <v>Tas Ransel</v>
      </c>
      <c r="E48" s="1" t="str">
        <f>VLOOKUP(Data_Transaksi3568[[#This Row],[Kode_Produk]],Master_Produk9[#All],3)</f>
        <v>Aksesoris</v>
      </c>
      <c r="F48" s="1" t="s">
        <v>18</v>
      </c>
      <c r="G48">
        <v>1</v>
      </c>
      <c r="H48">
        <f>VLOOKUP(Data_Transaksi3568[[#This Row],[Kode_Produk]],Master_Produk9[#All],4)</f>
        <v>120000</v>
      </c>
      <c r="I48">
        <v>120000</v>
      </c>
      <c r="J48" s="1" t="s">
        <v>110</v>
      </c>
      <c r="K48" s="8">
        <f>Data_Transaksi3568[[#This Row],[Jumlah_Beli]]*Data_Transaksi3568[[#This Row],[Harga_Satuan]]</f>
        <v>120000</v>
      </c>
      <c r="L48" s="8">
        <f>Data_Transaksi3568[[#This Row],[Jumlah_Beli]]*Data_Transaksi3568[[#This Row],[Harga Modal]]</f>
        <v>120000</v>
      </c>
      <c r="M48" s="8">
        <f>Data_Transaksi3568[[#This Row],[Total_Omzet]]-Data_Transaksi3568[[#This Row],[Total_Modal]]</f>
        <v>0</v>
      </c>
    </row>
    <row r="49" spans="1:13" x14ac:dyDescent="0.35">
      <c r="A49" s="1" t="s">
        <v>111</v>
      </c>
      <c r="B49" s="2">
        <v>45333</v>
      </c>
      <c r="C49" s="1" t="s">
        <v>30</v>
      </c>
      <c r="D49" s="1" t="str">
        <f>VLOOKUP(Data_Transaksi3568[[#This Row],[Kode_Produk]],Master_Produk9[#All],2)</f>
        <v>Kaos Kaki</v>
      </c>
      <c r="E49" s="1" t="str">
        <f>VLOOKUP(Data_Transaksi3568[[#This Row],[Kode_Produk]],Master_Produk9[#All],3)</f>
        <v>Aksesoris</v>
      </c>
      <c r="F49" s="1" t="s">
        <v>13</v>
      </c>
      <c r="G49">
        <v>15</v>
      </c>
      <c r="H49">
        <f>VLOOKUP(Data_Transaksi3568[[#This Row],[Kode_Produk]],Master_Produk9[#All],4)</f>
        <v>5000</v>
      </c>
      <c r="I49">
        <v>10000</v>
      </c>
      <c r="J49" s="1" t="s">
        <v>112</v>
      </c>
      <c r="K49" s="8">
        <f>Data_Transaksi3568[[#This Row],[Jumlah_Beli]]*Data_Transaksi3568[[#This Row],[Harga_Satuan]]</f>
        <v>150000</v>
      </c>
      <c r="L49" s="8">
        <f>Data_Transaksi3568[[#This Row],[Jumlah_Beli]]*Data_Transaksi3568[[#This Row],[Harga Modal]]</f>
        <v>75000</v>
      </c>
      <c r="M49" s="8">
        <f>Data_Transaksi3568[[#This Row],[Total_Omzet]]-Data_Transaksi3568[[#This Row],[Total_Modal]]</f>
        <v>75000</v>
      </c>
    </row>
    <row r="50" spans="1:13" x14ac:dyDescent="0.35">
      <c r="A50" s="1" t="s">
        <v>113</v>
      </c>
      <c r="B50" s="2">
        <v>45334</v>
      </c>
      <c r="C50" s="1" t="s">
        <v>17</v>
      </c>
      <c r="D50" s="1" t="str">
        <f>VLOOKUP(Data_Transaksi3568[[#This Row],[Kode_Produk]],Master_Produk9[#All],2)</f>
        <v>Sepatu Sneakers</v>
      </c>
      <c r="E50" s="1" t="str">
        <f>VLOOKUP(Data_Transaksi3568[[#This Row],[Kode_Produk]],Master_Produk9[#All],3)</f>
        <v>Sepatu</v>
      </c>
      <c r="F50" s="1" t="s">
        <v>9</v>
      </c>
      <c r="G50">
        <v>1</v>
      </c>
      <c r="H50">
        <f>VLOOKUP(Data_Transaksi3568[[#This Row],[Kode_Produk]],Master_Produk9[#All],4)</f>
        <v>300000</v>
      </c>
      <c r="I50">
        <v>500000</v>
      </c>
      <c r="J50" s="1" t="s">
        <v>114</v>
      </c>
      <c r="K50" s="8">
        <f>Data_Transaksi3568[[#This Row],[Jumlah_Beli]]*Data_Transaksi3568[[#This Row],[Harga_Satuan]]</f>
        <v>500000</v>
      </c>
      <c r="L50" s="8">
        <f>Data_Transaksi3568[[#This Row],[Jumlah_Beli]]*Data_Transaksi3568[[#This Row],[Harga Modal]]</f>
        <v>300000</v>
      </c>
      <c r="M50" s="8">
        <f>Data_Transaksi3568[[#This Row],[Total_Omzet]]-Data_Transaksi3568[[#This Row],[Total_Modal]]</f>
        <v>200000</v>
      </c>
    </row>
  </sheetData>
  <conditionalFormatting sqref="A1:A50">
    <cfRule type="duplicateValues" dxfId="52" priority="2"/>
  </conditionalFormatting>
  <conditionalFormatting sqref="A2:M50">
    <cfRule type="containsText" dxfId="51" priority="1" operator="containsText" text="N/A">
      <formula>NOT(ISERROR(SEARCH("N/A",A2)))</formula>
    </cfRule>
  </conditionalFormatting>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2A914-61B4-4F4D-A1E5-C9EA15CADB65}">
  <dimension ref="A2:D71"/>
  <sheetViews>
    <sheetView tabSelected="1" topLeftCell="A7" zoomScale="79" zoomScaleNormal="40" workbookViewId="0">
      <selection activeCell="D22" sqref="D22"/>
    </sheetView>
  </sheetViews>
  <sheetFormatPr defaultRowHeight="14.5" x14ac:dyDescent="0.35"/>
  <cols>
    <col min="1" max="1" width="14.6328125" bestFit="1" customWidth="1"/>
    <col min="2" max="2" width="18.08984375" bestFit="1" customWidth="1"/>
    <col min="3" max="3" width="17.26953125" bestFit="1" customWidth="1"/>
    <col min="4" max="4" width="15" bestFit="1" customWidth="1"/>
  </cols>
  <sheetData>
    <row r="2" spans="1:4" x14ac:dyDescent="0.35">
      <c r="A2" t="s">
        <v>187</v>
      </c>
    </row>
    <row r="3" spans="1:4" x14ac:dyDescent="0.35">
      <c r="A3" s="3" t="s">
        <v>115</v>
      </c>
      <c r="B3" t="s">
        <v>140</v>
      </c>
      <c r="C3" t="s">
        <v>139</v>
      </c>
      <c r="D3" t="s">
        <v>141</v>
      </c>
    </row>
    <row r="4" spans="1:4" x14ac:dyDescent="0.35">
      <c r="A4" s="4" t="s">
        <v>128</v>
      </c>
      <c r="B4" s="12">
        <v>4000000</v>
      </c>
      <c r="C4" s="12">
        <v>1600000</v>
      </c>
      <c r="D4" s="10">
        <v>0.4</v>
      </c>
    </row>
    <row r="5" spans="1:4" x14ac:dyDescent="0.35">
      <c r="A5" s="4" t="s">
        <v>133</v>
      </c>
      <c r="B5" s="12">
        <v>7700000</v>
      </c>
      <c r="C5" s="12">
        <v>7015000</v>
      </c>
      <c r="D5" s="10">
        <v>0.91103896103896109</v>
      </c>
    </row>
    <row r="6" spans="1:4" x14ac:dyDescent="0.35">
      <c r="A6" s="4" t="s">
        <v>126</v>
      </c>
      <c r="B6" s="12">
        <v>6150000</v>
      </c>
      <c r="C6" s="12">
        <v>2870000</v>
      </c>
      <c r="D6" s="10">
        <v>0.46666666666666667</v>
      </c>
    </row>
    <row r="7" spans="1:4" x14ac:dyDescent="0.35">
      <c r="A7" s="4" t="s">
        <v>129</v>
      </c>
      <c r="B7" s="12">
        <v>5650000</v>
      </c>
      <c r="C7" s="12">
        <v>2050000</v>
      </c>
      <c r="D7" s="10">
        <v>0.36283185840707965</v>
      </c>
    </row>
    <row r="8" spans="1:4" x14ac:dyDescent="0.35">
      <c r="A8" s="4" t="s">
        <v>131</v>
      </c>
      <c r="B8" s="12">
        <v>2850000</v>
      </c>
      <c r="C8" s="12">
        <v>90000</v>
      </c>
      <c r="D8" s="10">
        <v>3.1578947368421054E-2</v>
      </c>
    </row>
    <row r="9" spans="1:4" x14ac:dyDescent="0.35">
      <c r="A9" s="4" t="s">
        <v>117</v>
      </c>
      <c r="B9" s="12">
        <v>26350000</v>
      </c>
      <c r="C9" s="12">
        <v>13625000</v>
      </c>
      <c r="D9" s="10">
        <v>0.51707779886148009</v>
      </c>
    </row>
    <row r="12" spans="1:4" x14ac:dyDescent="0.35">
      <c r="A12" s="3" t="s">
        <v>115</v>
      </c>
      <c r="B12" t="s">
        <v>140</v>
      </c>
    </row>
    <row r="13" spans="1:4" x14ac:dyDescent="0.35">
      <c r="A13" s="4" t="s">
        <v>142</v>
      </c>
      <c r="B13" s="12">
        <v>18580000</v>
      </c>
    </row>
    <row r="14" spans="1:4" x14ac:dyDescent="0.35">
      <c r="A14" s="11" t="s">
        <v>143</v>
      </c>
      <c r="B14" s="12">
        <v>550000</v>
      </c>
    </row>
    <row r="15" spans="1:4" x14ac:dyDescent="0.35">
      <c r="A15" s="11" t="s">
        <v>144</v>
      </c>
      <c r="B15" s="12">
        <v>1250000</v>
      </c>
    </row>
    <row r="16" spans="1:4" x14ac:dyDescent="0.35">
      <c r="A16" s="11" t="s">
        <v>145</v>
      </c>
      <c r="B16" s="12">
        <v>1000000</v>
      </c>
    </row>
    <row r="17" spans="1:2" x14ac:dyDescent="0.35">
      <c r="A17" s="11" t="s">
        <v>146</v>
      </c>
      <c r="B17" s="12">
        <v>600000</v>
      </c>
    </row>
    <row r="18" spans="1:2" x14ac:dyDescent="0.35">
      <c r="A18" s="11" t="s">
        <v>147</v>
      </c>
      <c r="B18" s="12">
        <v>550000</v>
      </c>
    </row>
    <row r="19" spans="1:2" x14ac:dyDescent="0.35">
      <c r="A19" s="11" t="s">
        <v>148</v>
      </c>
      <c r="B19" s="12">
        <v>550000</v>
      </c>
    </row>
    <row r="20" spans="1:2" x14ac:dyDescent="0.35">
      <c r="A20" s="11" t="s">
        <v>149</v>
      </c>
      <c r="B20" s="12">
        <v>600000</v>
      </c>
    </row>
    <row r="21" spans="1:2" x14ac:dyDescent="0.35">
      <c r="A21" s="11" t="s">
        <v>150</v>
      </c>
      <c r="B21" s="12">
        <v>150000</v>
      </c>
    </row>
    <row r="22" spans="1:2" x14ac:dyDescent="0.35">
      <c r="A22" s="11" t="s">
        <v>151</v>
      </c>
      <c r="B22" s="12">
        <v>200000</v>
      </c>
    </row>
    <row r="23" spans="1:2" x14ac:dyDescent="0.35">
      <c r="A23" s="11" t="s">
        <v>152</v>
      </c>
      <c r="B23" s="12">
        <v>900000</v>
      </c>
    </row>
    <row r="24" spans="1:2" x14ac:dyDescent="0.35">
      <c r="A24" s="11" t="s">
        <v>153</v>
      </c>
      <c r="B24" s="12">
        <v>500000</v>
      </c>
    </row>
    <row r="25" spans="1:2" x14ac:dyDescent="0.35">
      <c r="A25" s="11" t="s">
        <v>154</v>
      </c>
      <c r="B25" s="12">
        <v>500000</v>
      </c>
    </row>
    <row r="26" spans="1:2" x14ac:dyDescent="0.35">
      <c r="A26" s="11" t="s">
        <v>155</v>
      </c>
      <c r="B26" s="12">
        <v>480000</v>
      </c>
    </row>
    <row r="27" spans="1:2" x14ac:dyDescent="0.35">
      <c r="A27" s="11" t="s">
        <v>156</v>
      </c>
      <c r="B27" s="12">
        <v>150000</v>
      </c>
    </row>
    <row r="28" spans="1:2" x14ac:dyDescent="0.35">
      <c r="A28" s="11" t="s">
        <v>157</v>
      </c>
      <c r="B28" s="12">
        <v>150000</v>
      </c>
    </row>
    <row r="29" spans="1:2" x14ac:dyDescent="0.35">
      <c r="A29" s="11" t="s">
        <v>158</v>
      </c>
      <c r="B29" s="12">
        <v>250000</v>
      </c>
    </row>
    <row r="30" spans="1:2" x14ac:dyDescent="0.35">
      <c r="A30" s="11" t="s">
        <v>159</v>
      </c>
      <c r="B30" s="12">
        <v>1000000</v>
      </c>
    </row>
    <row r="31" spans="1:2" x14ac:dyDescent="0.35">
      <c r="A31" s="11" t="s">
        <v>160</v>
      </c>
      <c r="B31" s="12">
        <v>750000</v>
      </c>
    </row>
    <row r="32" spans="1:2" x14ac:dyDescent="0.35">
      <c r="A32" s="11" t="s">
        <v>161</v>
      </c>
      <c r="B32" s="12">
        <v>240000</v>
      </c>
    </row>
    <row r="33" spans="1:2" x14ac:dyDescent="0.35">
      <c r="A33" s="11" t="s">
        <v>162</v>
      </c>
      <c r="B33" s="12">
        <v>250000</v>
      </c>
    </row>
    <row r="34" spans="1:2" x14ac:dyDescent="0.35">
      <c r="A34" s="11" t="s">
        <v>163</v>
      </c>
      <c r="B34" s="12">
        <v>3750000</v>
      </c>
    </row>
    <row r="35" spans="1:2" x14ac:dyDescent="0.35">
      <c r="A35" s="11" t="s">
        <v>164</v>
      </c>
      <c r="B35" s="12">
        <v>500000</v>
      </c>
    </row>
    <row r="36" spans="1:2" x14ac:dyDescent="0.35">
      <c r="A36" s="11" t="s">
        <v>165</v>
      </c>
      <c r="B36" s="12">
        <v>300000</v>
      </c>
    </row>
    <row r="37" spans="1:2" x14ac:dyDescent="0.35">
      <c r="A37" s="11" t="s">
        <v>166</v>
      </c>
      <c r="B37" s="12">
        <v>750000</v>
      </c>
    </row>
    <row r="38" spans="1:2" x14ac:dyDescent="0.35">
      <c r="A38" s="11" t="s">
        <v>167</v>
      </c>
      <c r="B38" s="12">
        <v>120000</v>
      </c>
    </row>
    <row r="39" spans="1:2" x14ac:dyDescent="0.35">
      <c r="A39" s="11" t="s">
        <v>168</v>
      </c>
      <c r="B39" s="12">
        <v>600000</v>
      </c>
    </row>
    <row r="40" spans="1:2" x14ac:dyDescent="0.35">
      <c r="A40" s="11" t="s">
        <v>169</v>
      </c>
      <c r="B40" s="12">
        <v>300000</v>
      </c>
    </row>
    <row r="41" spans="1:2" x14ac:dyDescent="0.35">
      <c r="A41" s="11" t="s">
        <v>170</v>
      </c>
      <c r="B41" s="12">
        <v>500000</v>
      </c>
    </row>
    <row r="42" spans="1:2" x14ac:dyDescent="0.35">
      <c r="A42" s="11" t="s">
        <v>171</v>
      </c>
      <c r="B42" s="12">
        <v>900000</v>
      </c>
    </row>
    <row r="43" spans="1:2" x14ac:dyDescent="0.35">
      <c r="A43" s="11" t="s">
        <v>172</v>
      </c>
      <c r="B43" s="12">
        <v>240000</v>
      </c>
    </row>
    <row r="44" spans="1:2" x14ac:dyDescent="0.35">
      <c r="A44" s="4" t="s">
        <v>173</v>
      </c>
      <c r="B44" s="12">
        <v>7770000</v>
      </c>
    </row>
    <row r="45" spans="1:2" x14ac:dyDescent="0.35">
      <c r="A45" s="11" t="s">
        <v>174</v>
      </c>
      <c r="B45" s="12">
        <v>100000</v>
      </c>
    </row>
    <row r="46" spans="1:2" x14ac:dyDescent="0.35">
      <c r="A46" s="11" t="s">
        <v>175</v>
      </c>
      <c r="B46" s="12">
        <v>500000</v>
      </c>
    </row>
    <row r="47" spans="1:2" x14ac:dyDescent="0.35">
      <c r="A47" s="11" t="s">
        <v>176</v>
      </c>
      <c r="B47" s="12">
        <v>250000</v>
      </c>
    </row>
    <row r="48" spans="1:2" x14ac:dyDescent="0.35">
      <c r="A48" s="11" t="s">
        <v>177</v>
      </c>
      <c r="B48" s="12">
        <v>450000</v>
      </c>
    </row>
    <row r="49" spans="1:2" x14ac:dyDescent="0.35">
      <c r="A49" s="11" t="s">
        <v>178</v>
      </c>
      <c r="B49" s="12">
        <v>600000</v>
      </c>
    </row>
    <row r="50" spans="1:2" x14ac:dyDescent="0.35">
      <c r="A50" s="11" t="s">
        <v>179</v>
      </c>
      <c r="B50" s="12">
        <v>3000000</v>
      </c>
    </row>
    <row r="51" spans="1:2" x14ac:dyDescent="0.35">
      <c r="A51" s="11" t="s">
        <v>180</v>
      </c>
      <c r="B51" s="12">
        <v>1000000</v>
      </c>
    </row>
    <row r="52" spans="1:2" x14ac:dyDescent="0.35">
      <c r="A52" s="11" t="s">
        <v>181</v>
      </c>
      <c r="B52" s="12">
        <v>500000</v>
      </c>
    </row>
    <row r="53" spans="1:2" x14ac:dyDescent="0.35">
      <c r="A53" s="11" t="s">
        <v>182</v>
      </c>
      <c r="B53" s="12">
        <v>600000</v>
      </c>
    </row>
    <row r="54" spans="1:2" x14ac:dyDescent="0.35">
      <c r="A54" s="11" t="s">
        <v>183</v>
      </c>
      <c r="B54" s="12">
        <v>120000</v>
      </c>
    </row>
    <row r="55" spans="1:2" x14ac:dyDescent="0.35">
      <c r="A55" s="11" t="s">
        <v>184</v>
      </c>
      <c r="B55" s="12">
        <v>150000</v>
      </c>
    </row>
    <row r="56" spans="1:2" x14ac:dyDescent="0.35">
      <c r="A56" s="11" t="s">
        <v>185</v>
      </c>
      <c r="B56" s="12">
        <v>500000</v>
      </c>
    </row>
    <row r="57" spans="1:2" x14ac:dyDescent="0.35">
      <c r="A57" s="4" t="s">
        <v>117</v>
      </c>
      <c r="B57" s="12">
        <v>26350000</v>
      </c>
    </row>
    <row r="59" spans="1:2" x14ac:dyDescent="0.35">
      <c r="A59" s="11" t="s">
        <v>186</v>
      </c>
    </row>
    <row r="60" spans="1:2" x14ac:dyDescent="0.35">
      <c r="A60" s="3" t="s">
        <v>115</v>
      </c>
      <c r="B60" t="s">
        <v>140</v>
      </c>
    </row>
    <row r="61" spans="1:2" x14ac:dyDescent="0.35">
      <c r="A61" s="4" t="s">
        <v>64</v>
      </c>
      <c r="B61" s="12">
        <v>750000</v>
      </c>
    </row>
    <row r="62" spans="1:2" x14ac:dyDescent="0.35">
      <c r="A62" s="4" t="s">
        <v>77</v>
      </c>
      <c r="B62" s="12">
        <v>750000</v>
      </c>
    </row>
    <row r="63" spans="1:2" x14ac:dyDescent="0.35">
      <c r="A63" s="4" t="s">
        <v>45</v>
      </c>
      <c r="B63" s="12">
        <v>900000</v>
      </c>
    </row>
    <row r="64" spans="1:2" x14ac:dyDescent="0.35">
      <c r="A64" s="4" t="s">
        <v>21</v>
      </c>
      <c r="B64" s="12">
        <v>1000000</v>
      </c>
    </row>
    <row r="65" spans="1:2" x14ac:dyDescent="0.35">
      <c r="A65" s="4" t="s">
        <v>62</v>
      </c>
      <c r="B65" s="12">
        <v>1000000</v>
      </c>
    </row>
    <row r="66" spans="1:2" x14ac:dyDescent="0.35">
      <c r="A66" s="4" t="s">
        <v>10</v>
      </c>
      <c r="B66" s="12">
        <v>1050000</v>
      </c>
    </row>
    <row r="67" spans="1:2" x14ac:dyDescent="0.35">
      <c r="A67" s="4" t="s">
        <v>33</v>
      </c>
      <c r="B67" s="12">
        <v>1400000</v>
      </c>
    </row>
    <row r="68" spans="1:2" x14ac:dyDescent="0.35">
      <c r="A68" s="4" t="s">
        <v>35</v>
      </c>
      <c r="B68" s="12">
        <v>1900000</v>
      </c>
    </row>
    <row r="69" spans="1:2" x14ac:dyDescent="0.35">
      <c r="A69" s="4" t="s">
        <v>104</v>
      </c>
      <c r="B69" s="12">
        <v>3000000</v>
      </c>
    </row>
    <row r="70" spans="1:2" x14ac:dyDescent="0.35">
      <c r="A70" s="4" t="s">
        <v>70</v>
      </c>
      <c r="B70" s="12">
        <v>3750000</v>
      </c>
    </row>
    <row r="71" spans="1:2" x14ac:dyDescent="0.35">
      <c r="A71" s="4" t="s">
        <v>117</v>
      </c>
      <c r="B71" s="12">
        <v>15500000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B23DA1F-D024-4874-8DB9-3E2FFD72AC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Data Transaksi</vt:lpstr>
      <vt:lpstr>2. Data Audit</vt:lpstr>
      <vt:lpstr>3. Data Cleaning</vt:lpstr>
      <vt:lpstr>4. Data Integration</vt:lpstr>
      <vt:lpstr>5. Feature Engineering</vt:lpstr>
      <vt:lpstr>6. 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Alifa Raida Alamsyah</dc:creator>
  <cp:lastModifiedBy>Alifa Raida Alamsyah</cp:lastModifiedBy>
  <dcterms:created xsi:type="dcterms:W3CDTF">2026-04-24T14:27:59Z</dcterms:created>
  <dcterms:modified xsi:type="dcterms:W3CDTF">2026-04-27T12:33:59Z</dcterms:modified>
</cp:coreProperties>
</file>